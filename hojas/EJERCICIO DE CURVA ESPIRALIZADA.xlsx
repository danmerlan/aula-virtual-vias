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VIAS I - 02 DE 2025\"/>
    </mc:Choice>
  </mc:AlternateContent>
  <xr:revisionPtr revIDLastSave="0" documentId="13_ncr:1_{18EE4137-EDD8-4118-A572-E9F17B9E9E51}" xr6:coauthVersionLast="41" xr6:coauthVersionMax="41" xr10:uidLastSave="{00000000-0000-0000-0000-000000000000}"/>
  <bookViews>
    <workbookView xWindow="-120" yWindow="-120" windowWidth="20730" windowHeight="11160" activeTab="1" xr2:uid="{CAFF873C-ED8F-4835-8CAB-DC1CB1EC9689}"/>
  </bookViews>
  <sheets>
    <sheet name="Hoja1" sheetId="1" r:id="rId1"/>
    <sheet name="Hoja3" sheetId="3" r:id="rId2"/>
    <sheet name="Hoja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3" l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" i="3"/>
  <c r="O2" i="3"/>
  <c r="O3" i="3"/>
  <c r="O4" i="3"/>
  <c r="O5" i="3"/>
  <c r="O6" i="3"/>
  <c r="O7" i="3"/>
  <c r="O8" i="3"/>
  <c r="O9" i="3"/>
  <c r="O1" i="3"/>
  <c r="K17" i="3"/>
  <c r="L17" i="3"/>
  <c r="M17" i="3"/>
  <c r="K18" i="3"/>
  <c r="L18" i="3"/>
  <c r="M18" i="3"/>
  <c r="K19" i="3"/>
  <c r="L19" i="3"/>
  <c r="M19" i="3"/>
  <c r="K20" i="3"/>
  <c r="L20" i="3"/>
  <c r="M20" i="3"/>
  <c r="K21" i="3"/>
  <c r="L21" i="3"/>
  <c r="M21" i="3"/>
  <c r="K22" i="3"/>
  <c r="L22" i="3"/>
  <c r="M22" i="3"/>
  <c r="K23" i="3"/>
  <c r="L23" i="3"/>
  <c r="M23" i="3"/>
  <c r="K24" i="3"/>
  <c r="L24" i="3"/>
  <c r="M24" i="3"/>
  <c r="K25" i="3"/>
  <c r="L25" i="3"/>
  <c r="M25" i="3"/>
  <c r="K26" i="3"/>
  <c r="L26" i="3"/>
  <c r="M26" i="3"/>
  <c r="K27" i="3"/>
  <c r="L27" i="3"/>
  <c r="M27" i="3"/>
  <c r="K28" i="3"/>
  <c r="L28" i="3"/>
  <c r="M28" i="3"/>
  <c r="K29" i="3"/>
  <c r="L29" i="3"/>
  <c r="M29" i="3"/>
  <c r="K30" i="3"/>
  <c r="L30" i="3"/>
  <c r="M30" i="3"/>
  <c r="K31" i="3"/>
  <c r="L31" i="3"/>
  <c r="M31" i="3"/>
  <c r="K32" i="3"/>
  <c r="L32" i="3"/>
  <c r="M32" i="3"/>
  <c r="K33" i="3"/>
  <c r="L33" i="3"/>
  <c r="M33" i="3"/>
  <c r="K34" i="3"/>
  <c r="L34" i="3"/>
  <c r="M34" i="3"/>
  <c r="K35" i="3"/>
  <c r="L35" i="3"/>
  <c r="M35" i="3"/>
  <c r="K36" i="3"/>
  <c r="L36" i="3"/>
  <c r="M36" i="3"/>
  <c r="K37" i="3"/>
  <c r="L37" i="3"/>
  <c r="M37" i="3"/>
  <c r="K38" i="3"/>
  <c r="L38" i="3"/>
  <c r="M38" i="3"/>
  <c r="K39" i="3"/>
  <c r="L39" i="3"/>
  <c r="M39" i="3"/>
  <c r="K40" i="3"/>
  <c r="L40" i="3"/>
  <c r="M40" i="3"/>
  <c r="K41" i="3"/>
  <c r="L41" i="3"/>
  <c r="M41" i="3"/>
  <c r="K42" i="3"/>
  <c r="L42" i="3"/>
  <c r="M42" i="3"/>
  <c r="K43" i="3"/>
  <c r="L43" i="3"/>
  <c r="M43" i="3"/>
  <c r="K44" i="3"/>
  <c r="L44" i="3"/>
  <c r="M44" i="3"/>
  <c r="K45" i="3"/>
  <c r="L45" i="3"/>
  <c r="M45" i="3"/>
  <c r="K46" i="3"/>
  <c r="L46" i="3"/>
  <c r="M46" i="3"/>
  <c r="K47" i="3"/>
  <c r="L47" i="3"/>
  <c r="M47" i="3"/>
  <c r="K48" i="3"/>
  <c r="L48" i="3"/>
  <c r="M48" i="3"/>
  <c r="K49" i="3"/>
  <c r="L49" i="3"/>
  <c r="M49" i="3"/>
  <c r="K50" i="3"/>
  <c r="L50" i="3"/>
  <c r="M50" i="3"/>
  <c r="K51" i="3"/>
  <c r="L51" i="3"/>
  <c r="M51" i="3"/>
  <c r="K52" i="3"/>
  <c r="L52" i="3"/>
  <c r="M52" i="3"/>
  <c r="K53" i="3"/>
  <c r="L53" i="3"/>
  <c r="M53" i="3"/>
  <c r="K54" i="3"/>
  <c r="L54" i="3"/>
  <c r="M54" i="3"/>
  <c r="K55" i="3"/>
  <c r="L55" i="3"/>
  <c r="M55" i="3"/>
  <c r="K56" i="3"/>
  <c r="L56" i="3"/>
  <c r="M56" i="3"/>
  <c r="K57" i="3"/>
  <c r="L57" i="3"/>
  <c r="M57" i="3"/>
  <c r="K58" i="3"/>
  <c r="L58" i="3"/>
  <c r="M58" i="3"/>
  <c r="K59" i="3"/>
  <c r="L59" i="3"/>
  <c r="M59" i="3"/>
  <c r="K60" i="3"/>
  <c r="L60" i="3"/>
  <c r="M60" i="3"/>
  <c r="K61" i="3"/>
  <c r="L61" i="3"/>
  <c r="M61" i="3"/>
  <c r="K62" i="3"/>
  <c r="L62" i="3"/>
  <c r="M62" i="3"/>
  <c r="K63" i="3"/>
  <c r="L63" i="3"/>
  <c r="M63" i="3"/>
  <c r="K64" i="3"/>
  <c r="L64" i="3"/>
  <c r="M64" i="3"/>
  <c r="K65" i="3"/>
  <c r="L65" i="3"/>
  <c r="M65" i="3"/>
  <c r="K66" i="3"/>
  <c r="L66" i="3"/>
  <c r="M66" i="3"/>
  <c r="K67" i="3"/>
  <c r="L67" i="3"/>
  <c r="M67" i="3"/>
  <c r="K68" i="3"/>
  <c r="L68" i="3"/>
  <c r="M68" i="3"/>
  <c r="K69" i="3"/>
  <c r="L69" i="3"/>
  <c r="M69" i="3"/>
  <c r="K70" i="3"/>
  <c r="L70" i="3"/>
  <c r="M70" i="3"/>
  <c r="K71" i="3"/>
  <c r="L71" i="3"/>
  <c r="M71" i="3"/>
  <c r="K72" i="3"/>
  <c r="L72" i="3"/>
  <c r="M72" i="3"/>
  <c r="K73" i="3"/>
  <c r="L73" i="3"/>
  <c r="M73" i="3"/>
  <c r="K74" i="3"/>
  <c r="L74" i="3"/>
  <c r="M74" i="3"/>
  <c r="K75" i="3"/>
  <c r="L75" i="3"/>
  <c r="M75" i="3"/>
  <c r="K76" i="3"/>
  <c r="L76" i="3"/>
  <c r="M76" i="3"/>
  <c r="K77" i="3"/>
  <c r="L77" i="3"/>
  <c r="M77" i="3"/>
  <c r="K78" i="3"/>
  <c r="L78" i="3"/>
  <c r="M78" i="3"/>
  <c r="K79" i="3"/>
  <c r="L79" i="3"/>
  <c r="M79" i="3"/>
  <c r="K80" i="3"/>
  <c r="L80" i="3"/>
  <c r="M80" i="3"/>
  <c r="K81" i="3"/>
  <c r="L81" i="3"/>
  <c r="M81" i="3"/>
  <c r="K82" i="3"/>
  <c r="L82" i="3"/>
  <c r="M82" i="3"/>
  <c r="K83" i="3"/>
  <c r="L83" i="3"/>
  <c r="M83" i="3"/>
  <c r="K84" i="3"/>
  <c r="L84" i="3"/>
  <c r="M84" i="3"/>
  <c r="K85" i="3"/>
  <c r="L85" i="3"/>
  <c r="M85" i="3"/>
  <c r="K86" i="3"/>
  <c r="L86" i="3"/>
  <c r="M86" i="3"/>
  <c r="K87" i="3"/>
  <c r="L87" i="3"/>
  <c r="M87" i="3"/>
  <c r="K88" i="3"/>
  <c r="L88" i="3"/>
  <c r="M88" i="3"/>
  <c r="K89" i="3"/>
  <c r="L89" i="3"/>
  <c r="M89" i="3"/>
  <c r="K90" i="3"/>
  <c r="L90" i="3"/>
  <c r="M90" i="3"/>
  <c r="K91" i="3"/>
  <c r="L91" i="3"/>
  <c r="M91" i="3"/>
  <c r="K92" i="3"/>
  <c r="L92" i="3"/>
  <c r="M92" i="3"/>
  <c r="K93" i="3"/>
  <c r="L93" i="3"/>
  <c r="M93" i="3"/>
  <c r="K94" i="3"/>
  <c r="L94" i="3"/>
  <c r="M94" i="3"/>
  <c r="K95" i="3"/>
  <c r="L95" i="3"/>
  <c r="M95" i="3"/>
  <c r="K96" i="3"/>
  <c r="L96" i="3"/>
  <c r="M96" i="3"/>
  <c r="K97" i="3"/>
  <c r="L97" i="3"/>
  <c r="M97" i="3"/>
  <c r="K98" i="3"/>
  <c r="L98" i="3"/>
  <c r="M98" i="3"/>
  <c r="K99" i="3"/>
  <c r="L99" i="3"/>
  <c r="M99" i="3"/>
  <c r="K100" i="3"/>
  <c r="L100" i="3"/>
  <c r="M100" i="3"/>
  <c r="K101" i="3"/>
  <c r="L101" i="3"/>
  <c r="M101" i="3"/>
  <c r="K102" i="3"/>
  <c r="L102" i="3"/>
  <c r="M102" i="3"/>
  <c r="K103" i="3"/>
  <c r="L103" i="3"/>
  <c r="M103" i="3"/>
  <c r="K104" i="3"/>
  <c r="L104" i="3"/>
  <c r="M104" i="3"/>
  <c r="K105" i="3"/>
  <c r="L105" i="3"/>
  <c r="M105" i="3"/>
  <c r="K106" i="3"/>
  <c r="L106" i="3"/>
  <c r="M106" i="3"/>
  <c r="K107" i="3"/>
  <c r="L107" i="3"/>
  <c r="M107" i="3"/>
  <c r="K108" i="3"/>
  <c r="L108" i="3"/>
  <c r="M108" i="3"/>
  <c r="K109" i="3"/>
  <c r="L109" i="3"/>
  <c r="M109" i="3"/>
  <c r="K110" i="3"/>
  <c r="L110" i="3"/>
  <c r="M110" i="3"/>
  <c r="K111" i="3"/>
  <c r="L111" i="3"/>
  <c r="M111" i="3"/>
  <c r="K112" i="3"/>
  <c r="L112" i="3"/>
  <c r="M112" i="3"/>
  <c r="K113" i="3"/>
  <c r="L113" i="3"/>
  <c r="M113" i="3"/>
  <c r="K114" i="3"/>
  <c r="L114" i="3"/>
  <c r="M114" i="3"/>
  <c r="K115" i="3"/>
  <c r="L115" i="3"/>
  <c r="M115" i="3"/>
  <c r="K116" i="3"/>
  <c r="L116" i="3"/>
  <c r="M116" i="3"/>
  <c r="K117" i="3"/>
  <c r="L117" i="3"/>
  <c r="M117" i="3"/>
  <c r="K118" i="3"/>
  <c r="L118" i="3"/>
  <c r="M118" i="3"/>
  <c r="K119" i="3"/>
  <c r="L119" i="3"/>
  <c r="M119" i="3"/>
  <c r="K120" i="3"/>
  <c r="L120" i="3"/>
  <c r="M120" i="3"/>
  <c r="K121" i="3"/>
  <c r="L121" i="3"/>
  <c r="M121" i="3"/>
  <c r="K122" i="3"/>
  <c r="L122" i="3"/>
  <c r="M122" i="3"/>
  <c r="K123" i="3"/>
  <c r="L123" i="3"/>
  <c r="M123" i="3"/>
  <c r="K124" i="3"/>
  <c r="L124" i="3"/>
  <c r="M124" i="3"/>
  <c r="K125" i="3"/>
  <c r="L125" i="3"/>
  <c r="M125" i="3"/>
  <c r="K126" i="3"/>
  <c r="L126" i="3"/>
  <c r="M126" i="3"/>
  <c r="K127" i="3"/>
  <c r="L127" i="3"/>
  <c r="M127" i="3"/>
  <c r="K128" i="3"/>
  <c r="L128" i="3"/>
  <c r="M128" i="3"/>
  <c r="K129" i="3"/>
  <c r="L129" i="3"/>
  <c r="M129" i="3"/>
  <c r="K130" i="3"/>
  <c r="L130" i="3"/>
  <c r="M130" i="3"/>
  <c r="K131" i="3"/>
  <c r="L131" i="3"/>
  <c r="M131" i="3"/>
  <c r="K132" i="3"/>
  <c r="L132" i="3"/>
  <c r="M132" i="3"/>
  <c r="K133" i="3"/>
  <c r="L133" i="3"/>
  <c r="M133" i="3"/>
  <c r="K134" i="3"/>
  <c r="L134" i="3"/>
  <c r="M134" i="3"/>
  <c r="K135" i="3"/>
  <c r="L135" i="3"/>
  <c r="M135" i="3"/>
  <c r="K136" i="3"/>
  <c r="L136" i="3"/>
  <c r="M136" i="3"/>
  <c r="K137" i="3"/>
  <c r="L137" i="3"/>
  <c r="M137" i="3"/>
  <c r="K138" i="3"/>
  <c r="L138" i="3"/>
  <c r="M138" i="3"/>
  <c r="K139" i="3"/>
  <c r="L139" i="3"/>
  <c r="M139" i="3"/>
  <c r="K140" i="3"/>
  <c r="L140" i="3"/>
  <c r="M140" i="3"/>
  <c r="K141" i="3"/>
  <c r="L141" i="3"/>
  <c r="M141" i="3"/>
  <c r="K142" i="3"/>
  <c r="L142" i="3"/>
  <c r="M142" i="3"/>
  <c r="K143" i="3"/>
  <c r="L143" i="3"/>
  <c r="M143" i="3"/>
  <c r="K144" i="3"/>
  <c r="L144" i="3"/>
  <c r="M144" i="3"/>
  <c r="K145" i="3"/>
  <c r="L145" i="3"/>
  <c r="M145" i="3"/>
  <c r="K146" i="3"/>
  <c r="L146" i="3"/>
  <c r="M146" i="3"/>
  <c r="K147" i="3"/>
  <c r="L147" i="3"/>
  <c r="M147" i="3"/>
  <c r="K148" i="3"/>
  <c r="L148" i="3"/>
  <c r="M148" i="3"/>
  <c r="K149" i="3"/>
  <c r="L149" i="3"/>
  <c r="M149" i="3"/>
  <c r="K150" i="3"/>
  <c r="L150" i="3"/>
  <c r="M150" i="3"/>
  <c r="K151" i="3"/>
  <c r="L151" i="3"/>
  <c r="M151" i="3"/>
  <c r="K152" i="3"/>
  <c r="L152" i="3"/>
  <c r="M152" i="3"/>
  <c r="K153" i="3"/>
  <c r="L153" i="3"/>
  <c r="M153" i="3"/>
  <c r="K154" i="3"/>
  <c r="L154" i="3"/>
  <c r="M154" i="3"/>
  <c r="K155" i="3"/>
  <c r="L155" i="3"/>
  <c r="M155" i="3"/>
  <c r="K156" i="3"/>
  <c r="L156" i="3"/>
  <c r="M156" i="3"/>
  <c r="K157" i="3"/>
  <c r="L157" i="3"/>
  <c r="M157" i="3"/>
  <c r="K158" i="3"/>
  <c r="L158" i="3"/>
  <c r="M158" i="3"/>
  <c r="K159" i="3"/>
  <c r="L159" i="3"/>
  <c r="M159" i="3"/>
  <c r="K160" i="3"/>
  <c r="L160" i="3"/>
  <c r="M160" i="3"/>
  <c r="K161" i="3"/>
  <c r="L161" i="3"/>
  <c r="M161" i="3"/>
  <c r="K162" i="3"/>
  <c r="L162" i="3"/>
  <c r="M162" i="3"/>
  <c r="K163" i="3"/>
  <c r="L163" i="3"/>
  <c r="M163" i="3"/>
  <c r="K164" i="3"/>
  <c r="L164" i="3"/>
  <c r="M164" i="3"/>
  <c r="K165" i="3"/>
  <c r="L165" i="3"/>
  <c r="M165" i="3"/>
  <c r="K166" i="3"/>
  <c r="L166" i="3"/>
  <c r="M166" i="3"/>
  <c r="K167" i="3"/>
  <c r="L167" i="3"/>
  <c r="M167" i="3"/>
  <c r="K168" i="3"/>
  <c r="L168" i="3"/>
  <c r="M168" i="3"/>
  <c r="K169" i="3"/>
  <c r="L169" i="3"/>
  <c r="M169" i="3"/>
  <c r="K170" i="3"/>
  <c r="L170" i="3"/>
  <c r="M170" i="3"/>
  <c r="K171" i="3"/>
  <c r="L171" i="3"/>
  <c r="M171" i="3"/>
  <c r="K172" i="3"/>
  <c r="L172" i="3"/>
  <c r="M172" i="3"/>
  <c r="K173" i="3"/>
  <c r="L173" i="3"/>
  <c r="M173" i="3"/>
  <c r="K174" i="3"/>
  <c r="L174" i="3"/>
  <c r="M174" i="3"/>
  <c r="K175" i="3"/>
  <c r="L175" i="3"/>
  <c r="M175" i="3"/>
  <c r="K176" i="3"/>
  <c r="L176" i="3"/>
  <c r="M176" i="3"/>
  <c r="K177" i="3"/>
  <c r="L177" i="3"/>
  <c r="M177" i="3"/>
  <c r="K178" i="3"/>
  <c r="L178" i="3"/>
  <c r="M178" i="3"/>
  <c r="K179" i="3"/>
  <c r="L179" i="3"/>
  <c r="M179" i="3"/>
  <c r="K180" i="3"/>
  <c r="L180" i="3"/>
  <c r="M180" i="3"/>
  <c r="K181" i="3"/>
  <c r="L181" i="3"/>
  <c r="M181" i="3"/>
  <c r="K182" i="3"/>
  <c r="L182" i="3"/>
  <c r="M182" i="3"/>
  <c r="K183" i="3"/>
  <c r="L183" i="3"/>
  <c r="M183" i="3"/>
  <c r="K184" i="3"/>
  <c r="L184" i="3"/>
  <c r="M184" i="3"/>
  <c r="K185" i="3"/>
  <c r="L185" i="3"/>
  <c r="M185" i="3"/>
  <c r="K186" i="3"/>
  <c r="L186" i="3"/>
  <c r="M186" i="3"/>
  <c r="K187" i="3"/>
  <c r="L187" i="3"/>
  <c r="M187" i="3"/>
  <c r="K188" i="3"/>
  <c r="L188" i="3"/>
  <c r="M188" i="3"/>
  <c r="K189" i="3"/>
  <c r="L189" i="3"/>
  <c r="M189" i="3"/>
  <c r="K190" i="3"/>
  <c r="L190" i="3"/>
  <c r="M190" i="3"/>
  <c r="K191" i="3"/>
  <c r="L191" i="3"/>
  <c r="M191" i="3"/>
  <c r="K192" i="3"/>
  <c r="L192" i="3"/>
  <c r="M192" i="3"/>
  <c r="K193" i="3"/>
  <c r="L193" i="3"/>
  <c r="M193" i="3"/>
  <c r="K194" i="3"/>
  <c r="L194" i="3"/>
  <c r="M194" i="3"/>
  <c r="K195" i="3"/>
  <c r="L195" i="3"/>
  <c r="M195" i="3"/>
  <c r="K196" i="3"/>
  <c r="L196" i="3"/>
  <c r="M196" i="3"/>
  <c r="K197" i="3"/>
  <c r="L197" i="3"/>
  <c r="M197" i="3"/>
  <c r="K198" i="3"/>
  <c r="L198" i="3"/>
  <c r="M198" i="3"/>
  <c r="K199" i="3"/>
  <c r="L199" i="3"/>
  <c r="M199" i="3"/>
  <c r="K200" i="3"/>
  <c r="L200" i="3"/>
  <c r="M200" i="3"/>
  <c r="K201" i="3"/>
  <c r="L201" i="3"/>
  <c r="M201" i="3"/>
  <c r="K202" i="3"/>
  <c r="L202" i="3"/>
  <c r="M202" i="3"/>
  <c r="K203" i="3"/>
  <c r="L203" i="3"/>
  <c r="M203" i="3"/>
  <c r="K204" i="3"/>
  <c r="L204" i="3"/>
  <c r="M204" i="3"/>
  <c r="K205" i="3"/>
  <c r="L205" i="3"/>
  <c r="M205" i="3"/>
  <c r="K206" i="3"/>
  <c r="L206" i="3"/>
  <c r="M206" i="3"/>
  <c r="K207" i="3"/>
  <c r="L207" i="3"/>
  <c r="M207" i="3"/>
  <c r="K208" i="3"/>
  <c r="L208" i="3"/>
  <c r="M208" i="3"/>
  <c r="K209" i="3"/>
  <c r="L209" i="3"/>
  <c r="M209" i="3"/>
  <c r="K210" i="3"/>
  <c r="L210" i="3"/>
  <c r="M210" i="3"/>
  <c r="K211" i="3"/>
  <c r="L211" i="3"/>
  <c r="M211" i="3"/>
  <c r="K212" i="3"/>
  <c r="L212" i="3"/>
  <c r="M212" i="3"/>
  <c r="K213" i="3"/>
  <c r="L213" i="3"/>
  <c r="M213" i="3"/>
  <c r="K214" i="3"/>
  <c r="L214" i="3"/>
  <c r="M214" i="3"/>
  <c r="K215" i="3"/>
  <c r="L215" i="3"/>
  <c r="M215" i="3"/>
  <c r="K216" i="3"/>
  <c r="L216" i="3"/>
  <c r="M216" i="3"/>
  <c r="K217" i="3"/>
  <c r="L217" i="3"/>
  <c r="M217" i="3"/>
  <c r="K218" i="3"/>
  <c r="L218" i="3"/>
  <c r="M218" i="3"/>
  <c r="K219" i="3"/>
  <c r="L219" i="3"/>
  <c r="M219" i="3"/>
  <c r="K220" i="3"/>
  <c r="L220" i="3"/>
  <c r="M220" i="3"/>
  <c r="K221" i="3"/>
  <c r="L221" i="3"/>
  <c r="M221" i="3"/>
  <c r="K222" i="3"/>
  <c r="L222" i="3"/>
  <c r="M222" i="3"/>
  <c r="K223" i="3"/>
  <c r="L223" i="3"/>
  <c r="M223" i="3"/>
  <c r="K224" i="3"/>
  <c r="L224" i="3"/>
  <c r="M224" i="3"/>
  <c r="K225" i="3"/>
  <c r="L225" i="3"/>
  <c r="M225" i="3"/>
  <c r="K226" i="3"/>
  <c r="L226" i="3"/>
  <c r="M226" i="3"/>
  <c r="K227" i="3"/>
  <c r="L227" i="3"/>
  <c r="M227" i="3"/>
  <c r="K228" i="3"/>
  <c r="L228" i="3"/>
  <c r="M228" i="3"/>
  <c r="K229" i="3"/>
  <c r="L229" i="3"/>
  <c r="M229" i="3"/>
  <c r="K230" i="3"/>
  <c r="L230" i="3"/>
  <c r="M230" i="3"/>
  <c r="K231" i="3"/>
  <c r="L231" i="3"/>
  <c r="M231" i="3"/>
  <c r="K232" i="3"/>
  <c r="L232" i="3"/>
  <c r="M232" i="3"/>
  <c r="K233" i="3"/>
  <c r="L233" i="3"/>
  <c r="M233" i="3"/>
  <c r="K234" i="3"/>
  <c r="L234" i="3"/>
  <c r="M234" i="3"/>
  <c r="K235" i="3"/>
  <c r="L235" i="3"/>
  <c r="M235" i="3"/>
  <c r="K236" i="3"/>
  <c r="L236" i="3"/>
  <c r="M236" i="3"/>
  <c r="K237" i="3"/>
  <c r="L237" i="3"/>
  <c r="M237" i="3"/>
  <c r="K238" i="3"/>
  <c r="L238" i="3"/>
  <c r="M238" i="3"/>
  <c r="K239" i="3"/>
  <c r="L239" i="3"/>
  <c r="M239" i="3"/>
  <c r="K240" i="3"/>
  <c r="L240" i="3"/>
  <c r="M240" i="3"/>
  <c r="K241" i="3"/>
  <c r="L241" i="3"/>
  <c r="M241" i="3"/>
  <c r="K242" i="3"/>
  <c r="L242" i="3"/>
  <c r="M242" i="3"/>
  <c r="K243" i="3"/>
  <c r="L243" i="3"/>
  <c r="M243" i="3"/>
  <c r="K244" i="3"/>
  <c r="L244" i="3"/>
  <c r="M244" i="3"/>
  <c r="K245" i="3"/>
  <c r="L245" i="3"/>
  <c r="M245" i="3"/>
  <c r="K246" i="3"/>
  <c r="L246" i="3"/>
  <c r="M246" i="3"/>
  <c r="K247" i="3"/>
  <c r="L247" i="3"/>
  <c r="M247" i="3"/>
  <c r="K248" i="3"/>
  <c r="L248" i="3"/>
  <c r="M248" i="3"/>
  <c r="K249" i="3"/>
  <c r="L249" i="3"/>
  <c r="M249" i="3"/>
  <c r="K250" i="3"/>
  <c r="L250" i="3"/>
  <c r="M250" i="3"/>
  <c r="K251" i="3"/>
  <c r="L251" i="3"/>
  <c r="M251" i="3"/>
  <c r="K252" i="3"/>
  <c r="L252" i="3"/>
  <c r="M252" i="3"/>
  <c r="K253" i="3"/>
  <c r="L253" i="3"/>
  <c r="M253" i="3"/>
  <c r="K254" i="3"/>
  <c r="L254" i="3"/>
  <c r="M254" i="3"/>
  <c r="K255" i="3"/>
  <c r="L255" i="3"/>
  <c r="M255" i="3"/>
  <c r="K256" i="3"/>
  <c r="L256" i="3"/>
  <c r="M256" i="3"/>
  <c r="K257" i="3"/>
  <c r="L257" i="3"/>
  <c r="M257" i="3"/>
  <c r="K258" i="3"/>
  <c r="L258" i="3"/>
  <c r="M258" i="3"/>
  <c r="K259" i="3"/>
  <c r="L259" i="3"/>
  <c r="M259" i="3"/>
  <c r="K260" i="3"/>
  <c r="L260" i="3"/>
  <c r="M260" i="3"/>
  <c r="K261" i="3"/>
  <c r="L261" i="3"/>
  <c r="M261" i="3"/>
  <c r="K262" i="3"/>
  <c r="L262" i="3"/>
  <c r="M262" i="3"/>
  <c r="K263" i="3"/>
  <c r="L263" i="3"/>
  <c r="M263" i="3"/>
  <c r="K264" i="3"/>
  <c r="L264" i="3"/>
  <c r="M264" i="3"/>
  <c r="K265" i="3"/>
  <c r="L265" i="3"/>
  <c r="M265" i="3"/>
  <c r="K266" i="3"/>
  <c r="L266" i="3"/>
  <c r="M266" i="3"/>
  <c r="K267" i="3"/>
  <c r="L267" i="3"/>
  <c r="M267" i="3"/>
  <c r="K268" i="3"/>
  <c r="L268" i="3"/>
  <c r="M268" i="3"/>
  <c r="K269" i="3"/>
  <c r="L269" i="3"/>
  <c r="M269" i="3"/>
  <c r="K270" i="3"/>
  <c r="L270" i="3"/>
  <c r="M270" i="3"/>
  <c r="K271" i="3"/>
  <c r="L271" i="3"/>
  <c r="M271" i="3"/>
  <c r="K272" i="3"/>
  <c r="L272" i="3"/>
  <c r="M272" i="3"/>
  <c r="K273" i="3"/>
  <c r="L273" i="3"/>
  <c r="M273" i="3"/>
  <c r="K274" i="3"/>
  <c r="L274" i="3"/>
  <c r="M274" i="3"/>
  <c r="K275" i="3"/>
  <c r="L275" i="3"/>
  <c r="M275" i="3"/>
  <c r="K276" i="3"/>
  <c r="L276" i="3"/>
  <c r="M276" i="3"/>
  <c r="K277" i="3"/>
  <c r="L277" i="3"/>
  <c r="M277" i="3"/>
  <c r="K278" i="3"/>
  <c r="L278" i="3"/>
  <c r="M278" i="3"/>
  <c r="K279" i="3"/>
  <c r="L279" i="3"/>
  <c r="M279" i="3"/>
  <c r="K280" i="3"/>
  <c r="L280" i="3"/>
  <c r="M280" i="3"/>
  <c r="K281" i="3"/>
  <c r="L281" i="3"/>
  <c r="M281" i="3"/>
  <c r="K282" i="3"/>
  <c r="L282" i="3"/>
  <c r="M282" i="3"/>
  <c r="K283" i="3"/>
  <c r="L283" i="3"/>
  <c r="M283" i="3"/>
  <c r="K284" i="3"/>
  <c r="L284" i="3"/>
  <c r="M284" i="3"/>
  <c r="K285" i="3"/>
  <c r="L285" i="3"/>
  <c r="M285" i="3"/>
  <c r="K286" i="3"/>
  <c r="L286" i="3"/>
  <c r="M286" i="3"/>
  <c r="K287" i="3"/>
  <c r="L287" i="3"/>
  <c r="M287" i="3"/>
  <c r="K288" i="3"/>
  <c r="L288" i="3"/>
  <c r="M288" i="3"/>
  <c r="K289" i="3"/>
  <c r="L289" i="3"/>
  <c r="M289" i="3"/>
  <c r="K290" i="3"/>
  <c r="L290" i="3"/>
  <c r="M290" i="3"/>
  <c r="K291" i="3"/>
  <c r="L291" i="3"/>
  <c r="M291" i="3"/>
  <c r="K292" i="3"/>
  <c r="L292" i="3"/>
  <c r="M292" i="3"/>
  <c r="K293" i="3"/>
  <c r="L293" i="3"/>
  <c r="M293" i="3"/>
  <c r="K294" i="3"/>
  <c r="L294" i="3"/>
  <c r="M294" i="3"/>
  <c r="K295" i="3"/>
  <c r="L295" i="3"/>
  <c r="M295" i="3"/>
  <c r="K296" i="3"/>
  <c r="L296" i="3"/>
  <c r="M296" i="3"/>
  <c r="K297" i="3"/>
  <c r="L297" i="3"/>
  <c r="M297" i="3"/>
  <c r="K298" i="3"/>
  <c r="L298" i="3"/>
  <c r="M298" i="3"/>
  <c r="K299" i="3"/>
  <c r="L299" i="3"/>
  <c r="M299" i="3"/>
  <c r="K300" i="3"/>
  <c r="L300" i="3"/>
  <c r="M300" i="3"/>
  <c r="K301" i="3"/>
  <c r="L301" i="3"/>
  <c r="M301" i="3"/>
  <c r="K302" i="3"/>
  <c r="L302" i="3"/>
  <c r="M302" i="3"/>
  <c r="K303" i="3"/>
  <c r="L303" i="3"/>
  <c r="M303" i="3"/>
  <c r="K304" i="3"/>
  <c r="L304" i="3"/>
  <c r="M304" i="3"/>
  <c r="K305" i="3"/>
  <c r="L305" i="3"/>
  <c r="M305" i="3"/>
  <c r="K306" i="3"/>
  <c r="L306" i="3"/>
  <c r="M306" i="3"/>
  <c r="K307" i="3"/>
  <c r="L307" i="3"/>
  <c r="M307" i="3"/>
  <c r="K308" i="3"/>
  <c r="L308" i="3"/>
  <c r="M308" i="3"/>
  <c r="K309" i="3"/>
  <c r="L309" i="3"/>
  <c r="M309" i="3"/>
  <c r="K310" i="3"/>
  <c r="L310" i="3"/>
  <c r="M310" i="3"/>
  <c r="K311" i="3"/>
  <c r="L311" i="3"/>
  <c r="M311" i="3"/>
  <c r="K312" i="3"/>
  <c r="L312" i="3"/>
  <c r="M312" i="3"/>
  <c r="K313" i="3"/>
  <c r="L313" i="3"/>
  <c r="M313" i="3"/>
  <c r="K314" i="3"/>
  <c r="L314" i="3"/>
  <c r="M314" i="3"/>
  <c r="K315" i="3"/>
  <c r="L315" i="3"/>
  <c r="M315" i="3"/>
  <c r="K316" i="3"/>
  <c r="L316" i="3"/>
  <c r="M316" i="3"/>
  <c r="K317" i="3"/>
  <c r="L317" i="3"/>
  <c r="M317" i="3"/>
  <c r="K318" i="3"/>
  <c r="L318" i="3"/>
  <c r="M318" i="3"/>
  <c r="K319" i="3"/>
  <c r="L319" i="3"/>
  <c r="M319" i="3"/>
  <c r="K320" i="3"/>
  <c r="L320" i="3"/>
  <c r="M320" i="3"/>
  <c r="K321" i="3"/>
  <c r="L321" i="3"/>
  <c r="M321" i="3"/>
  <c r="K322" i="3"/>
  <c r="L322" i="3"/>
  <c r="M322" i="3"/>
  <c r="K323" i="3"/>
  <c r="L323" i="3"/>
  <c r="M323" i="3"/>
  <c r="K324" i="3"/>
  <c r="L324" i="3"/>
  <c r="M324" i="3"/>
  <c r="K325" i="3"/>
  <c r="L325" i="3"/>
  <c r="M325" i="3"/>
  <c r="K326" i="3"/>
  <c r="L326" i="3"/>
  <c r="M326" i="3"/>
  <c r="K327" i="3"/>
  <c r="L327" i="3"/>
  <c r="M327" i="3"/>
  <c r="K328" i="3"/>
  <c r="L328" i="3"/>
  <c r="M328" i="3"/>
  <c r="K329" i="3"/>
  <c r="L329" i="3"/>
  <c r="M329" i="3"/>
  <c r="K330" i="3"/>
  <c r="L330" i="3"/>
  <c r="M330" i="3"/>
  <c r="K331" i="3"/>
  <c r="L331" i="3"/>
  <c r="M331" i="3"/>
  <c r="K332" i="3"/>
  <c r="L332" i="3"/>
  <c r="M332" i="3"/>
  <c r="K333" i="3"/>
  <c r="L333" i="3"/>
  <c r="M333" i="3"/>
  <c r="K334" i="3"/>
  <c r="L334" i="3"/>
  <c r="M334" i="3"/>
  <c r="K335" i="3"/>
  <c r="L335" i="3"/>
  <c r="M335" i="3"/>
  <c r="K336" i="3"/>
  <c r="L336" i="3"/>
  <c r="M336" i="3"/>
  <c r="K337" i="3"/>
  <c r="L337" i="3"/>
  <c r="M337" i="3"/>
  <c r="K338" i="3"/>
  <c r="L338" i="3"/>
  <c r="M338" i="3"/>
  <c r="K339" i="3"/>
  <c r="L339" i="3"/>
  <c r="M339" i="3"/>
  <c r="K340" i="3"/>
  <c r="L340" i="3"/>
  <c r="M340" i="3"/>
  <c r="K341" i="3"/>
  <c r="L341" i="3"/>
  <c r="M341" i="3"/>
  <c r="K342" i="3"/>
  <c r="L342" i="3"/>
  <c r="M342" i="3"/>
  <c r="K343" i="3"/>
  <c r="L343" i="3"/>
  <c r="M343" i="3"/>
  <c r="K344" i="3"/>
  <c r="L344" i="3"/>
  <c r="M344" i="3"/>
  <c r="K345" i="3"/>
  <c r="L345" i="3"/>
  <c r="M345" i="3"/>
  <c r="K346" i="3"/>
  <c r="L346" i="3"/>
  <c r="M346" i="3"/>
  <c r="K347" i="3"/>
  <c r="L347" i="3"/>
  <c r="M347" i="3"/>
  <c r="K348" i="3"/>
  <c r="L348" i="3"/>
  <c r="M348" i="3"/>
  <c r="K349" i="3"/>
  <c r="L349" i="3"/>
  <c r="M349" i="3"/>
  <c r="K350" i="3"/>
  <c r="L350" i="3"/>
  <c r="M350" i="3"/>
  <c r="K351" i="3"/>
  <c r="L351" i="3"/>
  <c r="M351" i="3"/>
  <c r="K352" i="3"/>
  <c r="L352" i="3"/>
  <c r="M352" i="3"/>
  <c r="K353" i="3"/>
  <c r="L353" i="3"/>
  <c r="M353" i="3"/>
  <c r="K354" i="3"/>
  <c r="L354" i="3"/>
  <c r="M354" i="3"/>
  <c r="K355" i="3"/>
  <c r="L355" i="3"/>
  <c r="M355" i="3"/>
  <c r="K356" i="3"/>
  <c r="L356" i="3"/>
  <c r="M356" i="3"/>
  <c r="K357" i="3"/>
  <c r="L357" i="3"/>
  <c r="M357" i="3"/>
  <c r="K358" i="3"/>
  <c r="L358" i="3"/>
  <c r="M358" i="3"/>
  <c r="K359" i="3"/>
  <c r="L359" i="3"/>
  <c r="M359" i="3"/>
  <c r="K360" i="3"/>
  <c r="L360" i="3"/>
  <c r="M360" i="3"/>
  <c r="K361" i="3"/>
  <c r="L361" i="3"/>
  <c r="M361" i="3"/>
  <c r="K362" i="3"/>
  <c r="L362" i="3"/>
  <c r="M362" i="3"/>
  <c r="K363" i="3"/>
  <c r="L363" i="3"/>
  <c r="M363" i="3"/>
  <c r="K364" i="3"/>
  <c r="L364" i="3"/>
  <c r="M364" i="3"/>
  <c r="K365" i="3"/>
  <c r="L365" i="3"/>
  <c r="M365" i="3"/>
  <c r="K366" i="3"/>
  <c r="L366" i="3"/>
  <c r="M366" i="3"/>
  <c r="K367" i="3"/>
  <c r="L367" i="3"/>
  <c r="M367" i="3"/>
  <c r="K368" i="3"/>
  <c r="L368" i="3"/>
  <c r="M368" i="3"/>
  <c r="K369" i="3"/>
  <c r="L369" i="3"/>
  <c r="M369" i="3"/>
  <c r="K370" i="3"/>
  <c r="L370" i="3"/>
  <c r="M370" i="3"/>
  <c r="K371" i="3"/>
  <c r="L371" i="3"/>
  <c r="M371" i="3"/>
  <c r="K372" i="3"/>
  <c r="L372" i="3"/>
  <c r="M372" i="3"/>
  <c r="K373" i="3"/>
  <c r="L373" i="3"/>
  <c r="M373" i="3"/>
  <c r="K374" i="3"/>
  <c r="L374" i="3"/>
  <c r="M374" i="3"/>
  <c r="K375" i="3"/>
  <c r="L375" i="3"/>
  <c r="M375" i="3"/>
  <c r="K376" i="3"/>
  <c r="L376" i="3"/>
  <c r="M376" i="3"/>
  <c r="K377" i="3"/>
  <c r="L377" i="3"/>
  <c r="M377" i="3"/>
  <c r="K378" i="3"/>
  <c r="L378" i="3"/>
  <c r="M378" i="3"/>
  <c r="K379" i="3"/>
  <c r="L379" i="3"/>
  <c r="M379" i="3"/>
  <c r="K380" i="3"/>
  <c r="L380" i="3"/>
  <c r="M380" i="3"/>
  <c r="K381" i="3"/>
  <c r="L381" i="3"/>
  <c r="M381" i="3"/>
  <c r="K382" i="3"/>
  <c r="L382" i="3"/>
  <c r="M382" i="3"/>
  <c r="K383" i="3"/>
  <c r="L383" i="3"/>
  <c r="M383" i="3"/>
  <c r="K384" i="3"/>
  <c r="L384" i="3"/>
  <c r="M384" i="3"/>
  <c r="K385" i="3"/>
  <c r="L385" i="3"/>
  <c r="M385" i="3"/>
  <c r="K386" i="3"/>
  <c r="L386" i="3"/>
  <c r="M386" i="3"/>
  <c r="K387" i="3"/>
  <c r="L387" i="3"/>
  <c r="M387" i="3"/>
  <c r="K388" i="3"/>
  <c r="L388" i="3"/>
  <c r="M388" i="3"/>
  <c r="K389" i="3"/>
  <c r="L389" i="3"/>
  <c r="M389" i="3"/>
  <c r="K390" i="3"/>
  <c r="L390" i="3"/>
  <c r="M390" i="3"/>
  <c r="K391" i="3"/>
  <c r="L391" i="3"/>
  <c r="M391" i="3"/>
  <c r="K392" i="3"/>
  <c r="L392" i="3"/>
  <c r="M392" i="3"/>
  <c r="K393" i="3"/>
  <c r="L393" i="3"/>
  <c r="M393" i="3"/>
  <c r="K394" i="3"/>
  <c r="L394" i="3"/>
  <c r="M394" i="3"/>
  <c r="K395" i="3"/>
  <c r="L395" i="3"/>
  <c r="M395" i="3"/>
  <c r="K396" i="3"/>
  <c r="L396" i="3"/>
  <c r="M396" i="3"/>
  <c r="K397" i="3"/>
  <c r="L397" i="3"/>
  <c r="M397" i="3"/>
  <c r="K398" i="3"/>
  <c r="L398" i="3"/>
  <c r="M398" i="3"/>
  <c r="K399" i="3"/>
  <c r="L399" i="3"/>
  <c r="M399" i="3"/>
  <c r="K400" i="3"/>
  <c r="L400" i="3"/>
  <c r="M400" i="3"/>
  <c r="K401" i="3"/>
  <c r="L401" i="3"/>
  <c r="M401" i="3"/>
  <c r="K402" i="3"/>
  <c r="L402" i="3"/>
  <c r="M402" i="3"/>
  <c r="K403" i="3"/>
  <c r="L403" i="3"/>
  <c r="M403" i="3"/>
  <c r="K404" i="3"/>
  <c r="L404" i="3"/>
  <c r="M404" i="3"/>
  <c r="K405" i="3"/>
  <c r="L405" i="3"/>
  <c r="M405" i="3"/>
  <c r="K406" i="3"/>
  <c r="L406" i="3"/>
  <c r="M406" i="3"/>
  <c r="K407" i="3"/>
  <c r="L407" i="3"/>
  <c r="M407" i="3"/>
  <c r="K408" i="3"/>
  <c r="L408" i="3"/>
  <c r="M408" i="3"/>
  <c r="K409" i="3"/>
  <c r="L409" i="3"/>
  <c r="M409" i="3"/>
  <c r="K410" i="3"/>
  <c r="L410" i="3"/>
  <c r="M410" i="3"/>
  <c r="K411" i="3"/>
  <c r="L411" i="3"/>
  <c r="M411" i="3"/>
  <c r="K412" i="3"/>
  <c r="L412" i="3"/>
  <c r="M412" i="3"/>
  <c r="K413" i="3"/>
  <c r="L413" i="3"/>
  <c r="M413" i="3"/>
  <c r="K414" i="3"/>
  <c r="L414" i="3"/>
  <c r="M414" i="3"/>
  <c r="K415" i="3"/>
  <c r="L415" i="3"/>
  <c r="M415" i="3"/>
  <c r="K416" i="3"/>
  <c r="L416" i="3"/>
  <c r="M416" i="3"/>
  <c r="K417" i="3"/>
  <c r="L417" i="3"/>
  <c r="M417" i="3"/>
  <c r="K418" i="3"/>
  <c r="L418" i="3"/>
  <c r="M418" i="3"/>
  <c r="K419" i="3"/>
  <c r="L419" i="3"/>
  <c r="M419" i="3"/>
  <c r="K420" i="3"/>
  <c r="L420" i="3"/>
  <c r="M420" i="3"/>
  <c r="K421" i="3"/>
  <c r="L421" i="3"/>
  <c r="M421" i="3"/>
  <c r="K422" i="3"/>
  <c r="L422" i="3"/>
  <c r="M422" i="3"/>
  <c r="K423" i="3"/>
  <c r="L423" i="3"/>
  <c r="M423" i="3"/>
  <c r="K424" i="3"/>
  <c r="L424" i="3"/>
  <c r="M424" i="3"/>
  <c r="K425" i="3"/>
  <c r="L425" i="3"/>
  <c r="M425" i="3"/>
  <c r="K426" i="3"/>
  <c r="L426" i="3"/>
  <c r="M426" i="3"/>
  <c r="K427" i="3"/>
  <c r="L427" i="3"/>
  <c r="M427" i="3"/>
  <c r="K428" i="3"/>
  <c r="L428" i="3"/>
  <c r="M428" i="3"/>
  <c r="K429" i="3"/>
  <c r="L429" i="3"/>
  <c r="M429" i="3"/>
  <c r="K430" i="3"/>
  <c r="L430" i="3"/>
  <c r="M430" i="3"/>
  <c r="K431" i="3"/>
  <c r="L431" i="3"/>
  <c r="M431" i="3"/>
  <c r="K432" i="3"/>
  <c r="L432" i="3"/>
  <c r="M432" i="3"/>
  <c r="K433" i="3"/>
  <c r="L433" i="3"/>
  <c r="M433" i="3"/>
  <c r="K434" i="3"/>
  <c r="L434" i="3"/>
  <c r="M434" i="3"/>
  <c r="K435" i="3"/>
  <c r="L435" i="3"/>
  <c r="M435" i="3"/>
  <c r="K436" i="3"/>
  <c r="L436" i="3"/>
  <c r="M436" i="3"/>
  <c r="K437" i="3"/>
  <c r="L437" i="3"/>
  <c r="M437" i="3"/>
  <c r="K438" i="3"/>
  <c r="L438" i="3"/>
  <c r="M438" i="3"/>
  <c r="K439" i="3"/>
  <c r="L439" i="3"/>
  <c r="M439" i="3"/>
  <c r="K440" i="3"/>
  <c r="L440" i="3"/>
  <c r="M440" i="3"/>
  <c r="K441" i="3"/>
  <c r="L441" i="3"/>
  <c r="M441" i="3"/>
  <c r="K442" i="3"/>
  <c r="L442" i="3"/>
  <c r="M442" i="3"/>
  <c r="K443" i="3"/>
  <c r="L443" i="3"/>
  <c r="M443" i="3"/>
  <c r="K444" i="3"/>
  <c r="L444" i="3"/>
  <c r="M444" i="3"/>
  <c r="K445" i="3"/>
  <c r="L445" i="3"/>
  <c r="M445" i="3"/>
  <c r="K446" i="3"/>
  <c r="L446" i="3"/>
  <c r="M446" i="3"/>
  <c r="K447" i="3"/>
  <c r="L447" i="3"/>
  <c r="M447" i="3"/>
  <c r="K448" i="3"/>
  <c r="L448" i="3"/>
  <c r="M448" i="3"/>
  <c r="K449" i="3"/>
  <c r="L449" i="3"/>
  <c r="M449" i="3"/>
  <c r="K450" i="3"/>
  <c r="L450" i="3"/>
  <c r="M450" i="3"/>
  <c r="K451" i="3"/>
  <c r="L451" i="3"/>
  <c r="M451" i="3"/>
  <c r="K452" i="3"/>
  <c r="L452" i="3"/>
  <c r="M452" i="3"/>
  <c r="K453" i="3"/>
  <c r="L453" i="3"/>
  <c r="M453" i="3"/>
  <c r="K454" i="3"/>
  <c r="L454" i="3"/>
  <c r="M454" i="3"/>
  <c r="K455" i="3"/>
  <c r="L455" i="3"/>
  <c r="M455" i="3"/>
  <c r="K456" i="3"/>
  <c r="L456" i="3"/>
  <c r="M456" i="3"/>
  <c r="K457" i="3"/>
  <c r="L457" i="3"/>
  <c r="M457" i="3"/>
  <c r="K458" i="3"/>
  <c r="L458" i="3"/>
  <c r="M458" i="3"/>
  <c r="K459" i="3"/>
  <c r="L459" i="3"/>
  <c r="M459" i="3"/>
  <c r="K460" i="3"/>
  <c r="L460" i="3"/>
  <c r="M460" i="3"/>
  <c r="K461" i="3"/>
  <c r="L461" i="3"/>
  <c r="M461" i="3"/>
  <c r="K462" i="3"/>
  <c r="L462" i="3"/>
  <c r="M462" i="3"/>
  <c r="K463" i="3"/>
  <c r="L463" i="3"/>
  <c r="M463" i="3"/>
  <c r="K464" i="3"/>
  <c r="L464" i="3"/>
  <c r="M464" i="3"/>
  <c r="K465" i="3"/>
  <c r="L465" i="3"/>
  <c r="M465" i="3"/>
  <c r="K466" i="3"/>
  <c r="L466" i="3"/>
  <c r="M466" i="3"/>
  <c r="K467" i="3"/>
  <c r="L467" i="3"/>
  <c r="M467" i="3"/>
  <c r="K468" i="3"/>
  <c r="L468" i="3"/>
  <c r="M468" i="3"/>
  <c r="K469" i="3"/>
  <c r="L469" i="3"/>
  <c r="M469" i="3"/>
  <c r="K470" i="3"/>
  <c r="L470" i="3"/>
  <c r="M470" i="3"/>
  <c r="K471" i="3"/>
  <c r="L471" i="3"/>
  <c r="M471" i="3"/>
  <c r="K472" i="3"/>
  <c r="L472" i="3"/>
  <c r="M472" i="3"/>
  <c r="K473" i="3"/>
  <c r="L473" i="3"/>
  <c r="M473" i="3"/>
  <c r="K474" i="3"/>
  <c r="L474" i="3"/>
  <c r="M474" i="3"/>
  <c r="K475" i="3"/>
  <c r="L475" i="3"/>
  <c r="M475" i="3"/>
  <c r="K476" i="3"/>
  <c r="L476" i="3"/>
  <c r="M476" i="3"/>
  <c r="K477" i="3"/>
  <c r="L477" i="3"/>
  <c r="M477" i="3"/>
  <c r="K478" i="3"/>
  <c r="L478" i="3"/>
  <c r="M478" i="3"/>
  <c r="K479" i="3"/>
  <c r="L479" i="3"/>
  <c r="M479" i="3"/>
  <c r="K480" i="3"/>
  <c r="L480" i="3"/>
  <c r="M480" i="3"/>
  <c r="K481" i="3"/>
  <c r="L481" i="3"/>
  <c r="M481" i="3"/>
  <c r="K482" i="3"/>
  <c r="L482" i="3"/>
  <c r="M482" i="3"/>
  <c r="K483" i="3"/>
  <c r="L483" i="3"/>
  <c r="M483" i="3"/>
  <c r="K484" i="3"/>
  <c r="L484" i="3"/>
  <c r="M484" i="3"/>
  <c r="K485" i="3"/>
  <c r="L485" i="3"/>
  <c r="M485" i="3"/>
  <c r="K486" i="3"/>
  <c r="L486" i="3"/>
  <c r="M486" i="3"/>
  <c r="K487" i="3"/>
  <c r="L487" i="3"/>
  <c r="M487" i="3"/>
  <c r="K488" i="3"/>
  <c r="L488" i="3"/>
  <c r="M488" i="3"/>
  <c r="K489" i="3"/>
  <c r="L489" i="3"/>
  <c r="M489" i="3"/>
  <c r="K490" i="3"/>
  <c r="L490" i="3"/>
  <c r="M490" i="3"/>
  <c r="K491" i="3"/>
  <c r="L491" i="3"/>
  <c r="M491" i="3"/>
  <c r="K492" i="3"/>
  <c r="L492" i="3"/>
  <c r="M492" i="3"/>
  <c r="K493" i="3"/>
  <c r="L493" i="3"/>
  <c r="M493" i="3"/>
  <c r="K494" i="3"/>
  <c r="L494" i="3"/>
  <c r="M494" i="3"/>
  <c r="K495" i="3"/>
  <c r="L495" i="3"/>
  <c r="M495" i="3"/>
  <c r="K496" i="3"/>
  <c r="L496" i="3"/>
  <c r="M496" i="3"/>
  <c r="K497" i="3"/>
  <c r="L497" i="3"/>
  <c r="M497" i="3"/>
  <c r="K498" i="3"/>
  <c r="L498" i="3"/>
  <c r="M498" i="3"/>
  <c r="K499" i="3"/>
  <c r="L499" i="3"/>
  <c r="M499" i="3"/>
  <c r="K500" i="3"/>
  <c r="L500" i="3"/>
  <c r="M500" i="3"/>
  <c r="K501" i="3"/>
  <c r="L501" i="3"/>
  <c r="M501" i="3"/>
  <c r="K502" i="3"/>
  <c r="L502" i="3"/>
  <c r="M502" i="3"/>
  <c r="K503" i="3"/>
  <c r="L503" i="3"/>
  <c r="M503" i="3"/>
  <c r="K504" i="3"/>
  <c r="L504" i="3"/>
  <c r="M504" i="3"/>
  <c r="K505" i="3"/>
  <c r="L505" i="3"/>
  <c r="M505" i="3"/>
  <c r="K506" i="3"/>
  <c r="L506" i="3"/>
  <c r="M506" i="3"/>
  <c r="K507" i="3"/>
  <c r="L507" i="3"/>
  <c r="M507" i="3"/>
  <c r="K508" i="3"/>
  <c r="L508" i="3"/>
  <c r="M508" i="3"/>
  <c r="K509" i="3"/>
  <c r="L509" i="3"/>
  <c r="M509" i="3"/>
  <c r="K510" i="3"/>
  <c r="L510" i="3"/>
  <c r="M510" i="3"/>
  <c r="K511" i="3"/>
  <c r="L511" i="3"/>
  <c r="M511" i="3"/>
  <c r="K512" i="3"/>
  <c r="L512" i="3"/>
  <c r="M512" i="3"/>
  <c r="K513" i="3"/>
  <c r="L513" i="3"/>
  <c r="M513" i="3"/>
  <c r="K514" i="3"/>
  <c r="L514" i="3"/>
  <c r="M514" i="3"/>
  <c r="K515" i="3"/>
  <c r="L515" i="3"/>
  <c r="M515" i="3"/>
  <c r="K516" i="3"/>
  <c r="L516" i="3"/>
  <c r="M516" i="3"/>
  <c r="K517" i="3"/>
  <c r="L517" i="3"/>
  <c r="M517" i="3"/>
  <c r="K518" i="3"/>
  <c r="L518" i="3"/>
  <c r="M518" i="3"/>
  <c r="K519" i="3"/>
  <c r="L519" i="3"/>
  <c r="M519" i="3"/>
  <c r="K520" i="3"/>
  <c r="L520" i="3"/>
  <c r="M520" i="3"/>
  <c r="K521" i="3"/>
  <c r="L521" i="3"/>
  <c r="M521" i="3"/>
  <c r="K522" i="3"/>
  <c r="L522" i="3"/>
  <c r="M522" i="3"/>
  <c r="K523" i="3"/>
  <c r="L523" i="3"/>
  <c r="M523" i="3"/>
  <c r="K524" i="3"/>
  <c r="L524" i="3"/>
  <c r="M524" i="3"/>
  <c r="K525" i="3"/>
  <c r="L525" i="3"/>
  <c r="M525" i="3"/>
  <c r="K526" i="3"/>
  <c r="L526" i="3"/>
  <c r="M526" i="3"/>
  <c r="K527" i="3"/>
  <c r="L527" i="3"/>
  <c r="M527" i="3"/>
  <c r="K528" i="3"/>
  <c r="L528" i="3"/>
  <c r="M528" i="3"/>
  <c r="K529" i="3"/>
  <c r="L529" i="3"/>
  <c r="M529" i="3"/>
  <c r="K530" i="3"/>
  <c r="L530" i="3"/>
  <c r="M530" i="3"/>
  <c r="K531" i="3"/>
  <c r="L531" i="3"/>
  <c r="M531" i="3"/>
  <c r="K532" i="3"/>
  <c r="L532" i="3"/>
  <c r="M532" i="3"/>
  <c r="K533" i="3"/>
  <c r="L533" i="3"/>
  <c r="M533" i="3"/>
  <c r="K534" i="3"/>
  <c r="L534" i="3"/>
  <c r="M534" i="3"/>
  <c r="K535" i="3"/>
  <c r="L535" i="3"/>
  <c r="M535" i="3"/>
  <c r="K536" i="3"/>
  <c r="L536" i="3"/>
  <c r="M536" i="3"/>
  <c r="K537" i="3"/>
  <c r="L537" i="3"/>
  <c r="M537" i="3"/>
  <c r="K538" i="3"/>
  <c r="L538" i="3"/>
  <c r="M538" i="3"/>
  <c r="K539" i="3"/>
  <c r="L539" i="3"/>
  <c r="M539" i="3"/>
  <c r="K540" i="3"/>
  <c r="L540" i="3"/>
  <c r="M540" i="3"/>
  <c r="K541" i="3"/>
  <c r="L541" i="3"/>
  <c r="M541" i="3"/>
  <c r="K542" i="3"/>
  <c r="L542" i="3"/>
  <c r="M542" i="3"/>
  <c r="K543" i="3"/>
  <c r="L543" i="3"/>
  <c r="M543" i="3"/>
  <c r="K544" i="3"/>
  <c r="L544" i="3"/>
  <c r="M544" i="3"/>
  <c r="K545" i="3"/>
  <c r="L545" i="3"/>
  <c r="M545" i="3"/>
  <c r="K546" i="3"/>
  <c r="L546" i="3"/>
  <c r="M546" i="3"/>
  <c r="K547" i="3"/>
  <c r="L547" i="3"/>
  <c r="M547" i="3"/>
  <c r="K548" i="3"/>
  <c r="L548" i="3"/>
  <c r="M548" i="3"/>
  <c r="K549" i="3"/>
  <c r="L549" i="3"/>
  <c r="M549" i="3"/>
  <c r="K550" i="3"/>
  <c r="L550" i="3"/>
  <c r="M550" i="3"/>
  <c r="K551" i="3"/>
  <c r="L551" i="3"/>
  <c r="M551" i="3"/>
  <c r="K552" i="3"/>
  <c r="L552" i="3"/>
  <c r="M552" i="3"/>
  <c r="K553" i="3"/>
  <c r="L553" i="3"/>
  <c r="M553" i="3"/>
  <c r="K554" i="3"/>
  <c r="L554" i="3"/>
  <c r="M554" i="3"/>
  <c r="K555" i="3"/>
  <c r="L555" i="3"/>
  <c r="M555" i="3"/>
  <c r="K556" i="3"/>
  <c r="L556" i="3"/>
  <c r="M556" i="3"/>
  <c r="K557" i="3"/>
  <c r="L557" i="3"/>
  <c r="M557" i="3"/>
  <c r="K558" i="3"/>
  <c r="L558" i="3"/>
  <c r="M558" i="3"/>
  <c r="K559" i="3"/>
  <c r="L559" i="3"/>
  <c r="M559" i="3"/>
  <c r="K560" i="3"/>
  <c r="L560" i="3"/>
  <c r="M560" i="3"/>
  <c r="K561" i="3"/>
  <c r="L561" i="3"/>
  <c r="M561" i="3"/>
  <c r="K562" i="3"/>
  <c r="L562" i="3"/>
  <c r="M562" i="3"/>
  <c r="K563" i="3"/>
  <c r="L563" i="3"/>
  <c r="M563" i="3"/>
  <c r="K564" i="3"/>
  <c r="L564" i="3"/>
  <c r="M564" i="3"/>
  <c r="K565" i="3"/>
  <c r="L565" i="3"/>
  <c r="M565" i="3"/>
  <c r="K566" i="3"/>
  <c r="L566" i="3"/>
  <c r="M566" i="3"/>
  <c r="K567" i="3"/>
  <c r="L567" i="3"/>
  <c r="M567" i="3"/>
  <c r="K568" i="3"/>
  <c r="L568" i="3"/>
  <c r="M568" i="3"/>
  <c r="K569" i="3"/>
  <c r="L569" i="3"/>
  <c r="M569" i="3"/>
  <c r="K570" i="3"/>
  <c r="L570" i="3"/>
  <c r="M570" i="3"/>
  <c r="K571" i="3"/>
  <c r="L571" i="3"/>
  <c r="M571" i="3"/>
  <c r="K572" i="3"/>
  <c r="L572" i="3"/>
  <c r="M572" i="3"/>
  <c r="K573" i="3"/>
  <c r="L573" i="3"/>
  <c r="M573" i="3"/>
  <c r="K574" i="3"/>
  <c r="L574" i="3"/>
  <c r="M574" i="3"/>
  <c r="K575" i="3"/>
  <c r="L575" i="3"/>
  <c r="M575" i="3"/>
  <c r="K576" i="3"/>
  <c r="L576" i="3"/>
  <c r="M576" i="3"/>
  <c r="K577" i="3"/>
  <c r="L577" i="3"/>
  <c r="M577" i="3"/>
  <c r="K578" i="3"/>
  <c r="L578" i="3"/>
  <c r="M578" i="3"/>
  <c r="K579" i="3"/>
  <c r="L579" i="3"/>
  <c r="M579" i="3"/>
  <c r="K580" i="3"/>
  <c r="L580" i="3"/>
  <c r="M580" i="3"/>
  <c r="K581" i="3"/>
  <c r="L581" i="3"/>
  <c r="M581" i="3"/>
  <c r="K582" i="3"/>
  <c r="L582" i="3"/>
  <c r="M582" i="3"/>
  <c r="K583" i="3"/>
  <c r="L583" i="3"/>
  <c r="M583" i="3"/>
  <c r="K584" i="3"/>
  <c r="L584" i="3"/>
  <c r="M584" i="3"/>
  <c r="K585" i="3"/>
  <c r="L585" i="3"/>
  <c r="M585" i="3"/>
  <c r="K586" i="3"/>
  <c r="L586" i="3"/>
  <c r="M586" i="3"/>
  <c r="K587" i="3"/>
  <c r="L587" i="3"/>
  <c r="M587" i="3"/>
  <c r="K588" i="3"/>
  <c r="L588" i="3"/>
  <c r="M588" i="3"/>
  <c r="K589" i="3"/>
  <c r="L589" i="3"/>
  <c r="M589" i="3"/>
  <c r="K590" i="3"/>
  <c r="L590" i="3"/>
  <c r="M590" i="3"/>
  <c r="K591" i="3"/>
  <c r="L591" i="3"/>
  <c r="M591" i="3"/>
  <c r="K592" i="3"/>
  <c r="L592" i="3"/>
  <c r="M592" i="3"/>
  <c r="K593" i="3"/>
  <c r="L593" i="3"/>
  <c r="M593" i="3"/>
  <c r="K594" i="3"/>
  <c r="L594" i="3"/>
  <c r="M594" i="3"/>
  <c r="K595" i="3"/>
  <c r="L595" i="3"/>
  <c r="M595" i="3"/>
  <c r="K596" i="3"/>
  <c r="L596" i="3"/>
  <c r="M596" i="3"/>
  <c r="K597" i="3"/>
  <c r="L597" i="3"/>
  <c r="M597" i="3"/>
  <c r="K598" i="3"/>
  <c r="L598" i="3"/>
  <c r="M598" i="3"/>
  <c r="K599" i="3"/>
  <c r="L599" i="3"/>
  <c r="M599" i="3"/>
  <c r="K600" i="3"/>
  <c r="L600" i="3"/>
  <c r="M600" i="3"/>
  <c r="K601" i="3"/>
  <c r="L601" i="3"/>
  <c r="M601" i="3"/>
  <c r="K602" i="3"/>
  <c r="L602" i="3"/>
  <c r="M602" i="3"/>
  <c r="K603" i="3"/>
  <c r="L603" i="3"/>
  <c r="M603" i="3"/>
  <c r="K604" i="3"/>
  <c r="L604" i="3"/>
  <c r="M604" i="3"/>
  <c r="K605" i="3"/>
  <c r="L605" i="3"/>
  <c r="M605" i="3"/>
  <c r="K606" i="3"/>
  <c r="L606" i="3"/>
  <c r="M606" i="3"/>
  <c r="K607" i="3"/>
  <c r="L607" i="3"/>
  <c r="M607" i="3"/>
  <c r="K608" i="3"/>
  <c r="L608" i="3"/>
  <c r="M608" i="3"/>
  <c r="K609" i="3"/>
  <c r="L609" i="3"/>
  <c r="M609" i="3"/>
  <c r="K610" i="3"/>
  <c r="L610" i="3"/>
  <c r="M610" i="3"/>
  <c r="K611" i="3"/>
  <c r="L611" i="3"/>
  <c r="M611" i="3"/>
  <c r="K612" i="3"/>
  <c r="L612" i="3"/>
  <c r="M612" i="3"/>
  <c r="K613" i="3"/>
  <c r="L613" i="3"/>
  <c r="M613" i="3"/>
  <c r="K614" i="3"/>
  <c r="L614" i="3"/>
  <c r="M614" i="3"/>
  <c r="K615" i="3"/>
  <c r="L615" i="3"/>
  <c r="M615" i="3"/>
  <c r="K616" i="3"/>
  <c r="L616" i="3"/>
  <c r="M616" i="3"/>
  <c r="K617" i="3"/>
  <c r="L617" i="3"/>
  <c r="M617" i="3"/>
  <c r="K618" i="3"/>
  <c r="L618" i="3"/>
  <c r="M618" i="3"/>
  <c r="K619" i="3"/>
  <c r="L619" i="3"/>
  <c r="M619" i="3"/>
  <c r="K620" i="3"/>
  <c r="L620" i="3"/>
  <c r="M620" i="3"/>
  <c r="K621" i="3"/>
  <c r="L621" i="3"/>
  <c r="M621" i="3"/>
  <c r="K622" i="3"/>
  <c r="L622" i="3"/>
  <c r="M622" i="3"/>
  <c r="K623" i="3"/>
  <c r="L623" i="3"/>
  <c r="M623" i="3"/>
  <c r="K624" i="3"/>
  <c r="L624" i="3"/>
  <c r="M624" i="3"/>
  <c r="K625" i="3"/>
  <c r="L625" i="3"/>
  <c r="M625" i="3"/>
  <c r="K626" i="3"/>
  <c r="L626" i="3"/>
  <c r="M626" i="3"/>
  <c r="K627" i="3"/>
  <c r="L627" i="3"/>
  <c r="M627" i="3"/>
  <c r="K628" i="3"/>
  <c r="L628" i="3"/>
  <c r="M628" i="3"/>
  <c r="K629" i="3"/>
  <c r="L629" i="3"/>
  <c r="M629" i="3"/>
  <c r="K630" i="3"/>
  <c r="L630" i="3"/>
  <c r="M630" i="3"/>
  <c r="K631" i="3"/>
  <c r="L631" i="3"/>
  <c r="M631" i="3"/>
  <c r="K632" i="3"/>
  <c r="L632" i="3"/>
  <c r="M632" i="3"/>
  <c r="K633" i="3"/>
  <c r="L633" i="3"/>
  <c r="M633" i="3"/>
  <c r="K634" i="3"/>
  <c r="L634" i="3"/>
  <c r="M634" i="3"/>
  <c r="K635" i="3"/>
  <c r="L635" i="3"/>
  <c r="M635" i="3"/>
  <c r="K636" i="3"/>
  <c r="L636" i="3"/>
  <c r="M636" i="3"/>
  <c r="K637" i="3"/>
  <c r="L637" i="3"/>
  <c r="M637" i="3"/>
  <c r="K638" i="3"/>
  <c r="L638" i="3"/>
  <c r="M638" i="3"/>
  <c r="K639" i="3"/>
  <c r="L639" i="3"/>
  <c r="M639" i="3"/>
  <c r="K640" i="3"/>
  <c r="L640" i="3"/>
  <c r="M640" i="3"/>
  <c r="K641" i="3"/>
  <c r="L641" i="3"/>
  <c r="M641" i="3"/>
  <c r="K642" i="3"/>
  <c r="L642" i="3"/>
  <c r="M642" i="3"/>
  <c r="K643" i="3"/>
  <c r="L643" i="3"/>
  <c r="M643" i="3"/>
  <c r="K644" i="3"/>
  <c r="L644" i="3"/>
  <c r="M644" i="3"/>
  <c r="K645" i="3"/>
  <c r="L645" i="3"/>
  <c r="M645" i="3"/>
  <c r="K646" i="3"/>
  <c r="L646" i="3"/>
  <c r="M646" i="3"/>
  <c r="K647" i="3"/>
  <c r="L647" i="3"/>
  <c r="M647" i="3"/>
  <c r="K648" i="3"/>
  <c r="L648" i="3"/>
  <c r="M648" i="3"/>
  <c r="K649" i="3"/>
  <c r="L649" i="3"/>
  <c r="M649" i="3"/>
  <c r="K650" i="3"/>
  <c r="L650" i="3"/>
  <c r="M650" i="3"/>
  <c r="K651" i="3"/>
  <c r="L651" i="3"/>
  <c r="M651" i="3"/>
  <c r="K652" i="3"/>
  <c r="L652" i="3"/>
  <c r="M652" i="3"/>
  <c r="K653" i="3"/>
  <c r="L653" i="3"/>
  <c r="M653" i="3"/>
  <c r="K654" i="3"/>
  <c r="L654" i="3"/>
  <c r="M654" i="3"/>
  <c r="K655" i="3"/>
  <c r="L655" i="3"/>
  <c r="M655" i="3"/>
  <c r="K656" i="3"/>
  <c r="L656" i="3"/>
  <c r="M656" i="3"/>
  <c r="K657" i="3"/>
  <c r="L657" i="3"/>
  <c r="M657" i="3"/>
  <c r="K658" i="3"/>
  <c r="L658" i="3"/>
  <c r="M658" i="3"/>
  <c r="K659" i="3"/>
  <c r="L659" i="3"/>
  <c r="M659" i="3"/>
  <c r="K660" i="3"/>
  <c r="L660" i="3"/>
  <c r="M660" i="3"/>
  <c r="K661" i="3"/>
  <c r="L661" i="3"/>
  <c r="M661" i="3"/>
  <c r="K662" i="3"/>
  <c r="L662" i="3"/>
  <c r="M662" i="3"/>
  <c r="K663" i="3"/>
  <c r="L663" i="3"/>
  <c r="M663" i="3"/>
  <c r="K664" i="3"/>
  <c r="L664" i="3"/>
  <c r="M664" i="3"/>
  <c r="K665" i="3"/>
  <c r="L665" i="3"/>
  <c r="M665" i="3"/>
  <c r="K666" i="3"/>
  <c r="L666" i="3"/>
  <c r="M666" i="3"/>
  <c r="K667" i="3"/>
  <c r="L667" i="3"/>
  <c r="M667" i="3"/>
  <c r="K668" i="3"/>
  <c r="L668" i="3"/>
  <c r="M668" i="3"/>
  <c r="K669" i="3"/>
  <c r="L669" i="3"/>
  <c r="M669" i="3"/>
  <c r="K670" i="3"/>
  <c r="L670" i="3"/>
  <c r="M670" i="3"/>
  <c r="K671" i="3"/>
  <c r="L671" i="3"/>
  <c r="M671" i="3"/>
  <c r="K672" i="3"/>
  <c r="L672" i="3"/>
  <c r="M672" i="3"/>
  <c r="K673" i="3"/>
  <c r="L673" i="3"/>
  <c r="M673" i="3"/>
  <c r="K674" i="3"/>
  <c r="L674" i="3"/>
  <c r="M674" i="3"/>
  <c r="K675" i="3"/>
  <c r="L675" i="3"/>
  <c r="M675" i="3"/>
  <c r="K676" i="3"/>
  <c r="L676" i="3"/>
  <c r="M676" i="3"/>
  <c r="K677" i="3"/>
  <c r="L677" i="3"/>
  <c r="M677" i="3"/>
  <c r="K678" i="3"/>
  <c r="L678" i="3"/>
  <c r="M678" i="3"/>
  <c r="K679" i="3"/>
  <c r="L679" i="3"/>
  <c r="M679" i="3"/>
  <c r="K680" i="3"/>
  <c r="L680" i="3"/>
  <c r="M680" i="3"/>
  <c r="K681" i="3"/>
  <c r="L681" i="3"/>
  <c r="M681" i="3"/>
  <c r="K682" i="3"/>
  <c r="L682" i="3"/>
  <c r="M682" i="3"/>
  <c r="K683" i="3"/>
  <c r="L683" i="3"/>
  <c r="M683" i="3"/>
  <c r="K684" i="3"/>
  <c r="L684" i="3"/>
  <c r="M684" i="3"/>
  <c r="K685" i="3"/>
  <c r="L685" i="3"/>
  <c r="M685" i="3"/>
  <c r="K686" i="3"/>
  <c r="L686" i="3"/>
  <c r="M686" i="3"/>
  <c r="K687" i="3"/>
  <c r="L687" i="3"/>
  <c r="M687" i="3"/>
  <c r="K688" i="3"/>
  <c r="L688" i="3"/>
  <c r="M688" i="3"/>
  <c r="K689" i="3"/>
  <c r="L689" i="3"/>
  <c r="M689" i="3"/>
  <c r="K690" i="3"/>
  <c r="L690" i="3"/>
  <c r="M690" i="3"/>
  <c r="K691" i="3"/>
  <c r="L691" i="3"/>
  <c r="M691" i="3"/>
  <c r="K692" i="3"/>
  <c r="L692" i="3"/>
  <c r="M692" i="3"/>
  <c r="K693" i="3"/>
  <c r="L693" i="3"/>
  <c r="M693" i="3"/>
  <c r="K694" i="3"/>
  <c r="L694" i="3"/>
  <c r="M694" i="3"/>
  <c r="K695" i="3"/>
  <c r="L695" i="3"/>
  <c r="M695" i="3"/>
  <c r="K696" i="3"/>
  <c r="L696" i="3"/>
  <c r="M696" i="3"/>
  <c r="K697" i="3"/>
  <c r="L697" i="3"/>
  <c r="M697" i="3"/>
  <c r="K698" i="3"/>
  <c r="L698" i="3"/>
  <c r="M698" i="3"/>
  <c r="K699" i="3"/>
  <c r="L699" i="3"/>
  <c r="M699" i="3"/>
  <c r="K700" i="3"/>
  <c r="L700" i="3"/>
  <c r="M700" i="3"/>
  <c r="K701" i="3"/>
  <c r="L701" i="3"/>
  <c r="M701" i="3"/>
  <c r="K702" i="3"/>
  <c r="L702" i="3"/>
  <c r="M702" i="3"/>
  <c r="K703" i="3"/>
  <c r="L703" i="3"/>
  <c r="M703" i="3"/>
  <c r="K704" i="3"/>
  <c r="L704" i="3"/>
  <c r="M704" i="3"/>
  <c r="K705" i="3"/>
  <c r="L705" i="3"/>
  <c r="M705" i="3"/>
  <c r="K706" i="3"/>
  <c r="L706" i="3"/>
  <c r="M706" i="3"/>
  <c r="K707" i="3"/>
  <c r="L707" i="3"/>
  <c r="M707" i="3"/>
  <c r="K708" i="3"/>
  <c r="L708" i="3"/>
  <c r="M708" i="3"/>
  <c r="K709" i="3"/>
  <c r="L709" i="3"/>
  <c r="M709" i="3"/>
  <c r="K710" i="3"/>
  <c r="L710" i="3"/>
  <c r="M710" i="3"/>
  <c r="K711" i="3"/>
  <c r="L711" i="3"/>
  <c r="M711" i="3"/>
  <c r="K712" i="3"/>
  <c r="L712" i="3"/>
  <c r="M712" i="3"/>
  <c r="K713" i="3"/>
  <c r="L713" i="3"/>
  <c r="M713" i="3"/>
  <c r="K714" i="3"/>
  <c r="L714" i="3"/>
  <c r="M714" i="3"/>
  <c r="K715" i="3"/>
  <c r="L715" i="3"/>
  <c r="M715" i="3"/>
  <c r="K716" i="3"/>
  <c r="L716" i="3"/>
  <c r="M716" i="3"/>
  <c r="K717" i="3"/>
  <c r="L717" i="3"/>
  <c r="M717" i="3"/>
  <c r="K718" i="3"/>
  <c r="L718" i="3"/>
  <c r="M718" i="3"/>
  <c r="K719" i="3"/>
  <c r="L719" i="3"/>
  <c r="M719" i="3"/>
  <c r="K720" i="3"/>
  <c r="L720" i="3"/>
  <c r="M720" i="3"/>
  <c r="K721" i="3"/>
  <c r="L721" i="3"/>
  <c r="M721" i="3"/>
  <c r="K722" i="3"/>
  <c r="L722" i="3"/>
  <c r="M722" i="3"/>
  <c r="K723" i="3"/>
  <c r="L723" i="3"/>
  <c r="M723" i="3"/>
  <c r="K724" i="3"/>
  <c r="L724" i="3"/>
  <c r="M724" i="3"/>
  <c r="K725" i="3"/>
  <c r="L725" i="3"/>
  <c r="M725" i="3"/>
  <c r="K726" i="3"/>
  <c r="L726" i="3"/>
  <c r="M726" i="3"/>
  <c r="K727" i="3"/>
  <c r="L727" i="3"/>
  <c r="M727" i="3"/>
  <c r="K728" i="3"/>
  <c r="L728" i="3"/>
  <c r="M728" i="3"/>
  <c r="K729" i="3"/>
  <c r="L729" i="3"/>
  <c r="M729" i="3"/>
  <c r="K730" i="3"/>
  <c r="L730" i="3"/>
  <c r="M730" i="3"/>
  <c r="K731" i="3"/>
  <c r="L731" i="3"/>
  <c r="M731" i="3"/>
  <c r="K732" i="3"/>
  <c r="L732" i="3"/>
  <c r="M732" i="3"/>
  <c r="K733" i="3"/>
  <c r="L733" i="3"/>
  <c r="M733" i="3"/>
  <c r="K734" i="3"/>
  <c r="L734" i="3"/>
  <c r="M734" i="3"/>
  <c r="K735" i="3"/>
  <c r="L735" i="3"/>
  <c r="M735" i="3"/>
  <c r="K736" i="3"/>
  <c r="L736" i="3"/>
  <c r="M736" i="3"/>
  <c r="K737" i="3"/>
  <c r="L737" i="3"/>
  <c r="M737" i="3"/>
  <c r="K738" i="3"/>
  <c r="L738" i="3"/>
  <c r="M738" i="3"/>
  <c r="K739" i="3"/>
  <c r="L739" i="3"/>
  <c r="M739" i="3"/>
  <c r="K740" i="3"/>
  <c r="L740" i="3"/>
  <c r="M740" i="3"/>
  <c r="K741" i="3"/>
  <c r="L741" i="3"/>
  <c r="M741" i="3"/>
  <c r="K742" i="3"/>
  <c r="L742" i="3"/>
  <c r="M742" i="3"/>
  <c r="K743" i="3"/>
  <c r="L743" i="3"/>
  <c r="M743" i="3"/>
  <c r="K744" i="3"/>
  <c r="L744" i="3"/>
  <c r="M744" i="3"/>
  <c r="K745" i="3"/>
  <c r="L745" i="3"/>
  <c r="M745" i="3"/>
  <c r="K746" i="3"/>
  <c r="L746" i="3"/>
  <c r="M746" i="3"/>
  <c r="K747" i="3"/>
  <c r="L747" i="3"/>
  <c r="M747" i="3"/>
  <c r="K748" i="3"/>
  <c r="L748" i="3"/>
  <c r="M748" i="3"/>
  <c r="K749" i="3"/>
  <c r="L749" i="3"/>
  <c r="M749" i="3"/>
  <c r="K750" i="3"/>
  <c r="L750" i="3"/>
  <c r="M750" i="3"/>
  <c r="K751" i="3"/>
  <c r="L751" i="3"/>
  <c r="M751" i="3"/>
  <c r="K752" i="3"/>
  <c r="L752" i="3"/>
  <c r="M752" i="3"/>
  <c r="K753" i="3"/>
  <c r="L753" i="3"/>
  <c r="M753" i="3"/>
  <c r="K754" i="3"/>
  <c r="L754" i="3"/>
  <c r="M754" i="3"/>
  <c r="K755" i="3"/>
  <c r="L755" i="3"/>
  <c r="M755" i="3"/>
  <c r="K756" i="3"/>
  <c r="L756" i="3"/>
  <c r="M756" i="3"/>
  <c r="K757" i="3"/>
  <c r="L757" i="3"/>
  <c r="M757" i="3"/>
  <c r="K758" i="3"/>
  <c r="L758" i="3"/>
  <c r="M758" i="3"/>
  <c r="K759" i="3"/>
  <c r="L759" i="3"/>
  <c r="M759" i="3"/>
  <c r="K760" i="3"/>
  <c r="L760" i="3"/>
  <c r="M760" i="3"/>
  <c r="K761" i="3"/>
  <c r="L761" i="3"/>
  <c r="M761" i="3"/>
  <c r="K762" i="3"/>
  <c r="L762" i="3"/>
  <c r="M762" i="3"/>
  <c r="K763" i="3"/>
  <c r="L763" i="3"/>
  <c r="M763" i="3"/>
  <c r="K764" i="3"/>
  <c r="L764" i="3"/>
  <c r="M764" i="3"/>
  <c r="K765" i="3"/>
  <c r="L765" i="3"/>
  <c r="M765" i="3"/>
  <c r="K766" i="3"/>
  <c r="L766" i="3"/>
  <c r="M766" i="3"/>
  <c r="K767" i="3"/>
  <c r="L767" i="3"/>
  <c r="M767" i="3"/>
  <c r="K768" i="3"/>
  <c r="L768" i="3"/>
  <c r="M768" i="3"/>
  <c r="K769" i="3"/>
  <c r="L769" i="3"/>
  <c r="M769" i="3"/>
  <c r="K770" i="3"/>
  <c r="L770" i="3"/>
  <c r="M770" i="3"/>
  <c r="K771" i="3"/>
  <c r="L771" i="3"/>
  <c r="M771" i="3"/>
  <c r="K772" i="3"/>
  <c r="L772" i="3"/>
  <c r="M772" i="3"/>
  <c r="K773" i="3"/>
  <c r="L773" i="3"/>
  <c r="M773" i="3"/>
  <c r="K774" i="3"/>
  <c r="L774" i="3"/>
  <c r="M774" i="3"/>
  <c r="K775" i="3"/>
  <c r="L775" i="3"/>
  <c r="M775" i="3"/>
  <c r="K776" i="3"/>
  <c r="L776" i="3"/>
  <c r="M776" i="3"/>
  <c r="K777" i="3"/>
  <c r="L777" i="3"/>
  <c r="M777" i="3"/>
  <c r="K778" i="3"/>
  <c r="L778" i="3"/>
  <c r="M778" i="3"/>
  <c r="K779" i="3"/>
  <c r="L779" i="3"/>
  <c r="M779" i="3"/>
  <c r="K780" i="3"/>
  <c r="L780" i="3"/>
  <c r="M780" i="3"/>
  <c r="K781" i="3"/>
  <c r="L781" i="3"/>
  <c r="M781" i="3"/>
  <c r="K782" i="3"/>
  <c r="L782" i="3"/>
  <c r="M782" i="3"/>
  <c r="K783" i="3"/>
  <c r="L783" i="3"/>
  <c r="M783" i="3"/>
  <c r="K784" i="3"/>
  <c r="L784" i="3"/>
  <c r="M784" i="3"/>
  <c r="K785" i="3"/>
  <c r="L785" i="3"/>
  <c r="M785" i="3"/>
  <c r="K786" i="3"/>
  <c r="L786" i="3"/>
  <c r="M786" i="3"/>
  <c r="K787" i="3"/>
  <c r="L787" i="3"/>
  <c r="M787" i="3"/>
  <c r="K788" i="3"/>
  <c r="L788" i="3"/>
  <c r="M788" i="3"/>
  <c r="K789" i="3"/>
  <c r="L789" i="3"/>
  <c r="M789" i="3"/>
  <c r="K790" i="3"/>
  <c r="L790" i="3"/>
  <c r="M790" i="3"/>
  <c r="K791" i="3"/>
  <c r="L791" i="3"/>
  <c r="M791" i="3"/>
  <c r="K792" i="3"/>
  <c r="L792" i="3"/>
  <c r="M792" i="3"/>
  <c r="K793" i="3"/>
  <c r="L793" i="3"/>
  <c r="M793" i="3"/>
  <c r="K794" i="3"/>
  <c r="L794" i="3"/>
  <c r="M794" i="3"/>
  <c r="K795" i="3"/>
  <c r="L795" i="3"/>
  <c r="M795" i="3"/>
  <c r="K796" i="3"/>
  <c r="L796" i="3"/>
  <c r="M796" i="3"/>
  <c r="K797" i="3"/>
  <c r="L797" i="3"/>
  <c r="M797" i="3"/>
  <c r="K798" i="3"/>
  <c r="L798" i="3"/>
  <c r="M798" i="3"/>
  <c r="K799" i="3"/>
  <c r="L799" i="3"/>
  <c r="M799" i="3"/>
  <c r="K800" i="3"/>
  <c r="L800" i="3"/>
  <c r="M800" i="3"/>
  <c r="K801" i="3"/>
  <c r="L801" i="3"/>
  <c r="M801" i="3"/>
  <c r="K802" i="3"/>
  <c r="L802" i="3"/>
  <c r="M802" i="3"/>
  <c r="K803" i="3"/>
  <c r="L803" i="3"/>
  <c r="M803" i="3"/>
  <c r="K804" i="3"/>
  <c r="L804" i="3"/>
  <c r="M804" i="3"/>
  <c r="K805" i="3"/>
  <c r="L805" i="3"/>
  <c r="M805" i="3"/>
  <c r="K806" i="3"/>
  <c r="L806" i="3"/>
  <c r="M806" i="3"/>
  <c r="K807" i="3"/>
  <c r="L807" i="3"/>
  <c r="M807" i="3"/>
  <c r="K808" i="3"/>
  <c r="L808" i="3"/>
  <c r="M808" i="3"/>
  <c r="K809" i="3"/>
  <c r="L809" i="3"/>
  <c r="M809" i="3"/>
  <c r="K810" i="3"/>
  <c r="L810" i="3"/>
  <c r="M810" i="3"/>
  <c r="K811" i="3"/>
  <c r="L811" i="3"/>
  <c r="M811" i="3"/>
  <c r="K812" i="3"/>
  <c r="L812" i="3"/>
  <c r="M812" i="3"/>
  <c r="K813" i="3"/>
  <c r="L813" i="3"/>
  <c r="M813" i="3"/>
  <c r="K814" i="3"/>
  <c r="L814" i="3"/>
  <c r="M814" i="3"/>
  <c r="K815" i="3"/>
  <c r="L815" i="3"/>
  <c r="M815" i="3"/>
  <c r="K816" i="3"/>
  <c r="L816" i="3"/>
  <c r="M816" i="3"/>
  <c r="K817" i="3"/>
  <c r="L817" i="3"/>
  <c r="M817" i="3"/>
  <c r="K818" i="3"/>
  <c r="L818" i="3"/>
  <c r="M818" i="3"/>
  <c r="K819" i="3"/>
  <c r="L819" i="3"/>
  <c r="M819" i="3"/>
  <c r="K820" i="3"/>
  <c r="L820" i="3"/>
  <c r="M820" i="3"/>
  <c r="K821" i="3"/>
  <c r="L821" i="3"/>
  <c r="M821" i="3"/>
  <c r="K822" i="3"/>
  <c r="L822" i="3"/>
  <c r="M822" i="3"/>
  <c r="K823" i="3"/>
  <c r="L823" i="3"/>
  <c r="M823" i="3"/>
  <c r="K824" i="3"/>
  <c r="L824" i="3"/>
  <c r="M824" i="3"/>
  <c r="K825" i="3"/>
  <c r="L825" i="3"/>
  <c r="M825" i="3"/>
  <c r="K826" i="3"/>
  <c r="L826" i="3"/>
  <c r="M826" i="3"/>
  <c r="K827" i="3"/>
  <c r="L827" i="3"/>
  <c r="M827" i="3"/>
  <c r="K828" i="3"/>
  <c r="L828" i="3"/>
  <c r="M828" i="3"/>
  <c r="K829" i="3"/>
  <c r="L829" i="3"/>
  <c r="M829" i="3"/>
  <c r="K830" i="3"/>
  <c r="L830" i="3"/>
  <c r="M830" i="3"/>
  <c r="K831" i="3"/>
  <c r="L831" i="3"/>
  <c r="M831" i="3"/>
  <c r="K832" i="3"/>
  <c r="L832" i="3"/>
  <c r="M832" i="3"/>
  <c r="K833" i="3"/>
  <c r="L833" i="3"/>
  <c r="M833" i="3"/>
  <c r="K834" i="3"/>
  <c r="L834" i="3"/>
  <c r="M834" i="3"/>
  <c r="K835" i="3"/>
  <c r="L835" i="3"/>
  <c r="M835" i="3"/>
  <c r="K836" i="3"/>
  <c r="L836" i="3"/>
  <c r="M836" i="3"/>
  <c r="K837" i="3"/>
  <c r="L837" i="3"/>
  <c r="M837" i="3"/>
  <c r="K838" i="3"/>
  <c r="L838" i="3"/>
  <c r="M838" i="3"/>
  <c r="K839" i="3"/>
  <c r="L839" i="3"/>
  <c r="M839" i="3"/>
  <c r="K840" i="3"/>
  <c r="L840" i="3"/>
  <c r="M840" i="3"/>
  <c r="K841" i="3"/>
  <c r="L841" i="3"/>
  <c r="M841" i="3"/>
  <c r="K842" i="3"/>
  <c r="L842" i="3"/>
  <c r="M842" i="3"/>
  <c r="K843" i="3"/>
  <c r="L843" i="3"/>
  <c r="M843" i="3"/>
  <c r="K844" i="3"/>
  <c r="L844" i="3"/>
  <c r="M844" i="3"/>
  <c r="K845" i="3"/>
  <c r="L845" i="3"/>
  <c r="M845" i="3"/>
  <c r="K846" i="3"/>
  <c r="L846" i="3"/>
  <c r="M846" i="3"/>
  <c r="K847" i="3"/>
  <c r="L847" i="3"/>
  <c r="M847" i="3"/>
  <c r="K848" i="3"/>
  <c r="L848" i="3"/>
  <c r="M848" i="3"/>
  <c r="K849" i="3"/>
  <c r="L849" i="3"/>
  <c r="M849" i="3"/>
  <c r="K850" i="3"/>
  <c r="L850" i="3"/>
  <c r="M850" i="3"/>
  <c r="K851" i="3"/>
  <c r="L851" i="3"/>
  <c r="M851" i="3"/>
  <c r="K852" i="3"/>
  <c r="L852" i="3"/>
  <c r="M852" i="3"/>
  <c r="K853" i="3"/>
  <c r="L853" i="3"/>
  <c r="M853" i="3"/>
  <c r="K854" i="3"/>
  <c r="L854" i="3"/>
  <c r="M854" i="3"/>
  <c r="K855" i="3"/>
  <c r="L855" i="3"/>
  <c r="M855" i="3"/>
  <c r="K856" i="3"/>
  <c r="L856" i="3"/>
  <c r="M856" i="3"/>
  <c r="K857" i="3"/>
  <c r="L857" i="3"/>
  <c r="M857" i="3"/>
  <c r="K858" i="3"/>
  <c r="L858" i="3"/>
  <c r="M858" i="3"/>
  <c r="K859" i="3"/>
  <c r="L859" i="3"/>
  <c r="M859" i="3"/>
  <c r="K860" i="3"/>
  <c r="L860" i="3"/>
  <c r="M860" i="3"/>
  <c r="K861" i="3"/>
  <c r="L861" i="3"/>
  <c r="M861" i="3"/>
  <c r="K862" i="3"/>
  <c r="L862" i="3"/>
  <c r="M862" i="3"/>
  <c r="K863" i="3"/>
  <c r="L863" i="3"/>
  <c r="M863" i="3"/>
  <c r="K864" i="3"/>
  <c r="L864" i="3"/>
  <c r="M864" i="3"/>
  <c r="K865" i="3"/>
  <c r="L865" i="3"/>
  <c r="M865" i="3"/>
  <c r="K866" i="3"/>
  <c r="L866" i="3"/>
  <c r="M866" i="3"/>
  <c r="K867" i="3"/>
  <c r="L867" i="3"/>
  <c r="M867" i="3"/>
  <c r="K868" i="3"/>
  <c r="L868" i="3"/>
  <c r="M868" i="3"/>
  <c r="K869" i="3"/>
  <c r="L869" i="3"/>
  <c r="M869" i="3"/>
  <c r="K870" i="3"/>
  <c r="L870" i="3"/>
  <c r="M870" i="3"/>
  <c r="K871" i="3"/>
  <c r="L871" i="3"/>
  <c r="M871" i="3"/>
  <c r="K872" i="3"/>
  <c r="L872" i="3"/>
  <c r="M872" i="3"/>
  <c r="K873" i="3"/>
  <c r="L873" i="3"/>
  <c r="M873" i="3"/>
  <c r="K874" i="3"/>
  <c r="L874" i="3"/>
  <c r="M874" i="3"/>
  <c r="K875" i="3"/>
  <c r="L875" i="3"/>
  <c r="M875" i="3"/>
  <c r="K876" i="3"/>
  <c r="L876" i="3"/>
  <c r="M876" i="3"/>
  <c r="K877" i="3"/>
  <c r="L877" i="3"/>
  <c r="M877" i="3"/>
  <c r="K878" i="3"/>
  <c r="L878" i="3"/>
  <c r="M878" i="3"/>
  <c r="K879" i="3"/>
  <c r="L879" i="3"/>
  <c r="M879" i="3"/>
  <c r="K880" i="3"/>
  <c r="L880" i="3"/>
  <c r="M880" i="3"/>
  <c r="K881" i="3"/>
  <c r="L881" i="3"/>
  <c r="M881" i="3"/>
  <c r="K882" i="3"/>
  <c r="L882" i="3"/>
  <c r="M882" i="3"/>
  <c r="K883" i="3"/>
  <c r="L883" i="3"/>
  <c r="M883" i="3"/>
  <c r="K884" i="3"/>
  <c r="L884" i="3"/>
  <c r="M884" i="3"/>
  <c r="K885" i="3"/>
  <c r="L885" i="3"/>
  <c r="M885" i="3"/>
  <c r="K886" i="3"/>
  <c r="L886" i="3"/>
  <c r="M886" i="3"/>
  <c r="K887" i="3"/>
  <c r="L887" i="3"/>
  <c r="M887" i="3"/>
  <c r="K888" i="3"/>
  <c r="L888" i="3"/>
  <c r="M888" i="3"/>
  <c r="K889" i="3"/>
  <c r="L889" i="3"/>
  <c r="M889" i="3"/>
  <c r="K890" i="3"/>
  <c r="L890" i="3"/>
  <c r="M890" i="3"/>
  <c r="K891" i="3"/>
  <c r="L891" i="3"/>
  <c r="M891" i="3"/>
  <c r="K892" i="3"/>
  <c r="L892" i="3"/>
  <c r="M892" i="3"/>
  <c r="K893" i="3"/>
  <c r="L893" i="3"/>
  <c r="M893" i="3"/>
  <c r="K894" i="3"/>
  <c r="L894" i="3"/>
  <c r="M894" i="3"/>
  <c r="K895" i="3"/>
  <c r="L895" i="3"/>
  <c r="M895" i="3"/>
  <c r="K896" i="3"/>
  <c r="L896" i="3"/>
  <c r="M896" i="3"/>
  <c r="K897" i="3"/>
  <c r="L897" i="3"/>
  <c r="M897" i="3"/>
  <c r="K898" i="3"/>
  <c r="L898" i="3"/>
  <c r="M898" i="3"/>
  <c r="K899" i="3"/>
  <c r="L899" i="3"/>
  <c r="M899" i="3"/>
  <c r="K900" i="3"/>
  <c r="L900" i="3"/>
  <c r="M900" i="3"/>
  <c r="K901" i="3"/>
  <c r="L901" i="3"/>
  <c r="M901" i="3"/>
  <c r="K902" i="3"/>
  <c r="L902" i="3"/>
  <c r="M902" i="3"/>
  <c r="K903" i="3"/>
  <c r="L903" i="3"/>
  <c r="M903" i="3"/>
  <c r="K904" i="3"/>
  <c r="L904" i="3"/>
  <c r="M904" i="3"/>
  <c r="K905" i="3"/>
  <c r="L905" i="3"/>
  <c r="M905" i="3"/>
  <c r="K906" i="3"/>
  <c r="L906" i="3"/>
  <c r="M906" i="3"/>
  <c r="K907" i="3"/>
  <c r="L907" i="3"/>
  <c r="M907" i="3"/>
  <c r="K908" i="3"/>
  <c r="L908" i="3"/>
  <c r="M908" i="3"/>
  <c r="K909" i="3"/>
  <c r="L909" i="3"/>
  <c r="M909" i="3"/>
  <c r="K910" i="3"/>
  <c r="L910" i="3"/>
  <c r="M910" i="3"/>
  <c r="K911" i="3"/>
  <c r="L911" i="3"/>
  <c r="M911" i="3"/>
  <c r="K912" i="3"/>
  <c r="L912" i="3"/>
  <c r="M912" i="3"/>
  <c r="K913" i="3"/>
  <c r="L913" i="3"/>
  <c r="M913" i="3"/>
  <c r="K914" i="3"/>
  <c r="L914" i="3"/>
  <c r="M914" i="3"/>
  <c r="K915" i="3"/>
  <c r="L915" i="3"/>
  <c r="M915" i="3"/>
  <c r="K916" i="3"/>
  <c r="L916" i="3"/>
  <c r="M916" i="3"/>
  <c r="K917" i="3"/>
  <c r="L917" i="3"/>
  <c r="M917" i="3"/>
  <c r="K918" i="3"/>
  <c r="L918" i="3"/>
  <c r="M918" i="3"/>
  <c r="K919" i="3"/>
  <c r="L919" i="3"/>
  <c r="M919" i="3"/>
  <c r="K920" i="3"/>
  <c r="L920" i="3"/>
  <c r="M920" i="3"/>
  <c r="K921" i="3"/>
  <c r="L921" i="3"/>
  <c r="M921" i="3"/>
  <c r="K922" i="3"/>
  <c r="L922" i="3"/>
  <c r="M922" i="3"/>
  <c r="K923" i="3"/>
  <c r="L923" i="3"/>
  <c r="M923" i="3"/>
  <c r="K924" i="3"/>
  <c r="L924" i="3"/>
  <c r="M924" i="3"/>
  <c r="K925" i="3"/>
  <c r="L925" i="3"/>
  <c r="M925" i="3"/>
  <c r="K926" i="3"/>
  <c r="L926" i="3"/>
  <c r="M926" i="3"/>
  <c r="K927" i="3"/>
  <c r="L927" i="3"/>
  <c r="M927" i="3"/>
  <c r="K928" i="3"/>
  <c r="L928" i="3"/>
  <c r="M928" i="3"/>
  <c r="K929" i="3"/>
  <c r="L929" i="3"/>
  <c r="M929" i="3"/>
  <c r="K930" i="3"/>
  <c r="L930" i="3"/>
  <c r="M930" i="3"/>
  <c r="K931" i="3"/>
  <c r="L931" i="3"/>
  <c r="M931" i="3"/>
  <c r="K932" i="3"/>
  <c r="L932" i="3"/>
  <c r="M932" i="3"/>
  <c r="K933" i="3"/>
  <c r="L933" i="3"/>
  <c r="M933" i="3"/>
  <c r="K934" i="3"/>
  <c r="L934" i="3"/>
  <c r="M934" i="3"/>
  <c r="K935" i="3"/>
  <c r="L935" i="3"/>
  <c r="M935" i="3"/>
  <c r="K936" i="3"/>
  <c r="L936" i="3"/>
  <c r="M936" i="3"/>
  <c r="K937" i="3"/>
  <c r="L937" i="3"/>
  <c r="M937" i="3"/>
  <c r="K938" i="3"/>
  <c r="L938" i="3"/>
  <c r="M938" i="3"/>
  <c r="K939" i="3"/>
  <c r="L939" i="3"/>
  <c r="M939" i="3"/>
  <c r="K940" i="3"/>
  <c r="L940" i="3"/>
  <c r="M940" i="3"/>
  <c r="K941" i="3"/>
  <c r="L941" i="3"/>
  <c r="M941" i="3"/>
  <c r="K942" i="3"/>
  <c r="L942" i="3"/>
  <c r="M942" i="3"/>
  <c r="K943" i="3"/>
  <c r="L943" i="3"/>
  <c r="M943" i="3"/>
  <c r="K944" i="3"/>
  <c r="L944" i="3"/>
  <c r="M944" i="3"/>
  <c r="K945" i="3"/>
  <c r="L945" i="3"/>
  <c r="M945" i="3"/>
  <c r="K946" i="3"/>
  <c r="L946" i="3"/>
  <c r="M946" i="3"/>
  <c r="K947" i="3"/>
  <c r="L947" i="3"/>
  <c r="M947" i="3"/>
  <c r="K948" i="3"/>
  <c r="L948" i="3"/>
  <c r="M948" i="3"/>
  <c r="K949" i="3"/>
  <c r="L949" i="3"/>
  <c r="M949" i="3"/>
  <c r="K950" i="3"/>
  <c r="L950" i="3"/>
  <c r="M950" i="3"/>
  <c r="K951" i="3"/>
  <c r="L951" i="3"/>
  <c r="M951" i="3"/>
  <c r="K952" i="3"/>
  <c r="L952" i="3"/>
  <c r="M952" i="3"/>
  <c r="K953" i="3"/>
  <c r="L953" i="3"/>
  <c r="M953" i="3"/>
  <c r="K954" i="3"/>
  <c r="L954" i="3"/>
  <c r="M954" i="3"/>
  <c r="K955" i="3"/>
  <c r="L955" i="3"/>
  <c r="M955" i="3"/>
  <c r="K956" i="3"/>
  <c r="L956" i="3"/>
  <c r="M956" i="3"/>
  <c r="K957" i="3"/>
  <c r="L957" i="3"/>
  <c r="M957" i="3"/>
  <c r="K958" i="3"/>
  <c r="L958" i="3"/>
  <c r="M958" i="3"/>
  <c r="K959" i="3"/>
  <c r="L959" i="3"/>
  <c r="M959" i="3"/>
  <c r="K960" i="3"/>
  <c r="L960" i="3"/>
  <c r="M960" i="3"/>
  <c r="K961" i="3"/>
  <c r="L961" i="3"/>
  <c r="M961" i="3"/>
  <c r="K962" i="3"/>
  <c r="L962" i="3"/>
  <c r="M962" i="3"/>
  <c r="K963" i="3"/>
  <c r="L963" i="3"/>
  <c r="M963" i="3"/>
  <c r="K964" i="3"/>
  <c r="L964" i="3"/>
  <c r="M964" i="3"/>
  <c r="K965" i="3"/>
  <c r="L965" i="3"/>
  <c r="M965" i="3"/>
  <c r="K966" i="3"/>
  <c r="L966" i="3"/>
  <c r="M966" i="3"/>
  <c r="K967" i="3"/>
  <c r="L967" i="3"/>
  <c r="M967" i="3"/>
  <c r="K968" i="3"/>
  <c r="L968" i="3"/>
  <c r="M968" i="3"/>
  <c r="K969" i="3"/>
  <c r="L969" i="3"/>
  <c r="M969" i="3"/>
  <c r="K970" i="3"/>
  <c r="L970" i="3"/>
  <c r="M970" i="3"/>
  <c r="K971" i="3"/>
  <c r="L971" i="3"/>
  <c r="M971" i="3"/>
  <c r="K972" i="3"/>
  <c r="L972" i="3"/>
  <c r="M972" i="3"/>
  <c r="K973" i="3"/>
  <c r="L973" i="3"/>
  <c r="M973" i="3"/>
  <c r="K974" i="3"/>
  <c r="L974" i="3"/>
  <c r="M974" i="3"/>
  <c r="K975" i="3"/>
  <c r="L975" i="3"/>
  <c r="M975" i="3"/>
  <c r="K976" i="3"/>
  <c r="L976" i="3"/>
  <c r="M976" i="3"/>
  <c r="K977" i="3"/>
  <c r="L977" i="3"/>
  <c r="M977" i="3"/>
  <c r="K978" i="3"/>
  <c r="L978" i="3"/>
  <c r="M978" i="3"/>
  <c r="K979" i="3"/>
  <c r="L979" i="3"/>
  <c r="M979" i="3"/>
  <c r="K980" i="3"/>
  <c r="L980" i="3"/>
  <c r="M980" i="3"/>
  <c r="K981" i="3"/>
  <c r="L981" i="3"/>
  <c r="M981" i="3"/>
  <c r="K982" i="3"/>
  <c r="L982" i="3"/>
  <c r="M982" i="3"/>
  <c r="K983" i="3"/>
  <c r="L983" i="3"/>
  <c r="M983" i="3"/>
  <c r="K984" i="3"/>
  <c r="L984" i="3"/>
  <c r="M984" i="3"/>
  <c r="K985" i="3"/>
  <c r="L985" i="3"/>
  <c r="M985" i="3"/>
  <c r="K986" i="3"/>
  <c r="L986" i="3"/>
  <c r="M986" i="3"/>
  <c r="K987" i="3"/>
  <c r="L987" i="3"/>
  <c r="M987" i="3"/>
  <c r="K988" i="3"/>
  <c r="L988" i="3"/>
  <c r="M988" i="3"/>
  <c r="K989" i="3"/>
  <c r="L989" i="3"/>
  <c r="M989" i="3"/>
  <c r="K990" i="3"/>
  <c r="L990" i="3"/>
  <c r="M990" i="3"/>
  <c r="K991" i="3"/>
  <c r="L991" i="3"/>
  <c r="M991" i="3"/>
  <c r="K992" i="3"/>
  <c r="L992" i="3"/>
  <c r="M992" i="3"/>
  <c r="K993" i="3"/>
  <c r="L993" i="3"/>
  <c r="M993" i="3"/>
  <c r="K994" i="3"/>
  <c r="L994" i="3"/>
  <c r="M994" i="3"/>
  <c r="K995" i="3"/>
  <c r="L995" i="3"/>
  <c r="M995" i="3"/>
  <c r="K996" i="3"/>
  <c r="L996" i="3"/>
  <c r="M996" i="3"/>
  <c r="K997" i="3"/>
  <c r="L997" i="3"/>
  <c r="M997" i="3"/>
  <c r="K998" i="3"/>
  <c r="L998" i="3"/>
  <c r="M998" i="3"/>
  <c r="K999" i="3"/>
  <c r="L999" i="3"/>
  <c r="M999" i="3"/>
  <c r="K2" i="3"/>
  <c r="L2" i="3"/>
  <c r="M2" i="3"/>
  <c r="K3" i="3"/>
  <c r="L3" i="3"/>
  <c r="M3" i="3"/>
  <c r="K4" i="3"/>
  <c r="L4" i="3"/>
  <c r="M4" i="3"/>
  <c r="K5" i="3"/>
  <c r="L5" i="3"/>
  <c r="M5" i="3"/>
  <c r="K6" i="3"/>
  <c r="L6" i="3"/>
  <c r="M6" i="3"/>
  <c r="K7" i="3"/>
  <c r="L7" i="3"/>
  <c r="M7" i="3"/>
  <c r="K8" i="3"/>
  <c r="L8" i="3"/>
  <c r="M8" i="3"/>
  <c r="K9" i="3"/>
  <c r="L9" i="3"/>
  <c r="M9" i="3"/>
  <c r="K10" i="3"/>
  <c r="L10" i="3"/>
  <c r="M10" i="3"/>
  <c r="K11" i="3"/>
  <c r="L11" i="3"/>
  <c r="M11" i="3"/>
  <c r="K12" i="3"/>
  <c r="L12" i="3"/>
  <c r="M12" i="3"/>
  <c r="K13" i="3"/>
  <c r="L13" i="3"/>
  <c r="M13" i="3"/>
  <c r="K14" i="3"/>
  <c r="L14" i="3"/>
  <c r="M14" i="3"/>
  <c r="K15" i="3"/>
  <c r="L15" i="3"/>
  <c r="M15" i="3"/>
  <c r="K16" i="3"/>
  <c r="L16" i="3"/>
  <c r="M16" i="3"/>
  <c r="M1" i="3"/>
  <c r="L1" i="3"/>
  <c r="K1" i="3"/>
  <c r="H2" i="3"/>
  <c r="I2" i="3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H42" i="3"/>
  <c r="I42" i="3"/>
  <c r="H43" i="3"/>
  <c r="I43" i="3"/>
  <c r="H44" i="3"/>
  <c r="I44" i="3"/>
  <c r="H45" i="3"/>
  <c r="I45" i="3"/>
  <c r="H46" i="3"/>
  <c r="I46" i="3"/>
  <c r="H47" i="3"/>
  <c r="I47" i="3"/>
  <c r="H48" i="3"/>
  <c r="I48" i="3"/>
  <c r="H49" i="3"/>
  <c r="I49" i="3"/>
  <c r="H50" i="3"/>
  <c r="I50" i="3"/>
  <c r="H51" i="3"/>
  <c r="I51" i="3"/>
  <c r="H52" i="3"/>
  <c r="I52" i="3"/>
  <c r="H53" i="3"/>
  <c r="I53" i="3"/>
  <c r="H54" i="3"/>
  <c r="I54" i="3"/>
  <c r="H55" i="3"/>
  <c r="I55" i="3"/>
  <c r="H56" i="3"/>
  <c r="I56" i="3"/>
  <c r="H57" i="3"/>
  <c r="I57" i="3"/>
  <c r="H58" i="3"/>
  <c r="I58" i="3"/>
  <c r="H59" i="3"/>
  <c r="I59" i="3"/>
  <c r="H60" i="3"/>
  <c r="I60" i="3"/>
  <c r="H61" i="3"/>
  <c r="I61" i="3"/>
  <c r="H62" i="3"/>
  <c r="I62" i="3"/>
  <c r="H63" i="3"/>
  <c r="I63" i="3"/>
  <c r="H64" i="3"/>
  <c r="I64" i="3"/>
  <c r="H65" i="3"/>
  <c r="I65" i="3"/>
  <c r="H66" i="3"/>
  <c r="I66" i="3"/>
  <c r="H67" i="3"/>
  <c r="I67" i="3"/>
  <c r="H68" i="3"/>
  <c r="I68" i="3"/>
  <c r="H69" i="3"/>
  <c r="I69" i="3"/>
  <c r="H70" i="3"/>
  <c r="I70" i="3"/>
  <c r="H71" i="3"/>
  <c r="I71" i="3"/>
  <c r="H72" i="3"/>
  <c r="I72" i="3"/>
  <c r="H73" i="3"/>
  <c r="I73" i="3"/>
  <c r="H74" i="3"/>
  <c r="I74" i="3"/>
  <c r="H75" i="3"/>
  <c r="I75" i="3"/>
  <c r="H76" i="3"/>
  <c r="I76" i="3"/>
  <c r="H77" i="3"/>
  <c r="I77" i="3"/>
  <c r="H78" i="3"/>
  <c r="I78" i="3"/>
  <c r="H79" i="3"/>
  <c r="I79" i="3"/>
  <c r="H80" i="3"/>
  <c r="I80" i="3"/>
  <c r="H81" i="3"/>
  <c r="I81" i="3"/>
  <c r="H82" i="3"/>
  <c r="I82" i="3"/>
  <c r="H83" i="3"/>
  <c r="I83" i="3"/>
  <c r="H84" i="3"/>
  <c r="I84" i="3"/>
  <c r="H85" i="3"/>
  <c r="I85" i="3"/>
  <c r="H86" i="3"/>
  <c r="I86" i="3"/>
  <c r="H87" i="3"/>
  <c r="I87" i="3"/>
  <c r="H88" i="3"/>
  <c r="I88" i="3"/>
  <c r="H89" i="3"/>
  <c r="I89" i="3"/>
  <c r="H90" i="3"/>
  <c r="I90" i="3"/>
  <c r="H91" i="3"/>
  <c r="I91" i="3"/>
  <c r="H92" i="3"/>
  <c r="I92" i="3"/>
  <c r="H93" i="3"/>
  <c r="I93" i="3"/>
  <c r="H94" i="3"/>
  <c r="I94" i="3"/>
  <c r="H95" i="3"/>
  <c r="I95" i="3"/>
  <c r="H96" i="3"/>
  <c r="I96" i="3"/>
  <c r="H97" i="3"/>
  <c r="I97" i="3"/>
  <c r="H98" i="3"/>
  <c r="I98" i="3"/>
  <c r="H99" i="3"/>
  <c r="I99" i="3"/>
  <c r="H100" i="3"/>
  <c r="I100" i="3"/>
  <c r="H101" i="3"/>
  <c r="I101" i="3"/>
  <c r="H102" i="3"/>
  <c r="I102" i="3"/>
  <c r="H103" i="3"/>
  <c r="I103" i="3"/>
  <c r="H104" i="3"/>
  <c r="I104" i="3"/>
  <c r="H105" i="3"/>
  <c r="I105" i="3"/>
  <c r="H106" i="3"/>
  <c r="I106" i="3"/>
  <c r="H107" i="3"/>
  <c r="I107" i="3"/>
  <c r="H108" i="3"/>
  <c r="I108" i="3"/>
  <c r="H109" i="3"/>
  <c r="I109" i="3"/>
  <c r="H110" i="3"/>
  <c r="I110" i="3"/>
  <c r="H111" i="3"/>
  <c r="I111" i="3"/>
  <c r="H112" i="3"/>
  <c r="I112" i="3"/>
  <c r="H113" i="3"/>
  <c r="I113" i="3"/>
  <c r="H114" i="3"/>
  <c r="I114" i="3"/>
  <c r="H115" i="3"/>
  <c r="I115" i="3"/>
  <c r="H116" i="3"/>
  <c r="I116" i="3"/>
  <c r="H117" i="3"/>
  <c r="I117" i="3"/>
  <c r="H118" i="3"/>
  <c r="I118" i="3"/>
  <c r="H119" i="3"/>
  <c r="I119" i="3"/>
  <c r="H120" i="3"/>
  <c r="I120" i="3"/>
  <c r="H121" i="3"/>
  <c r="I121" i="3"/>
  <c r="H122" i="3"/>
  <c r="I122" i="3"/>
  <c r="H123" i="3"/>
  <c r="I123" i="3"/>
  <c r="H124" i="3"/>
  <c r="I124" i="3"/>
  <c r="H125" i="3"/>
  <c r="I125" i="3"/>
  <c r="H126" i="3"/>
  <c r="I126" i="3"/>
  <c r="H127" i="3"/>
  <c r="I127" i="3"/>
  <c r="H128" i="3"/>
  <c r="I128" i="3"/>
  <c r="H129" i="3"/>
  <c r="I129" i="3"/>
  <c r="H130" i="3"/>
  <c r="I130" i="3"/>
  <c r="H131" i="3"/>
  <c r="I131" i="3"/>
  <c r="H132" i="3"/>
  <c r="I132" i="3"/>
  <c r="H133" i="3"/>
  <c r="I133" i="3"/>
  <c r="H134" i="3"/>
  <c r="I134" i="3"/>
  <c r="H135" i="3"/>
  <c r="I135" i="3"/>
  <c r="H136" i="3"/>
  <c r="I136" i="3"/>
  <c r="H137" i="3"/>
  <c r="I137" i="3"/>
  <c r="H138" i="3"/>
  <c r="I138" i="3"/>
  <c r="H139" i="3"/>
  <c r="I139" i="3"/>
  <c r="H140" i="3"/>
  <c r="I140" i="3"/>
  <c r="H141" i="3"/>
  <c r="I141" i="3"/>
  <c r="H142" i="3"/>
  <c r="I142" i="3"/>
  <c r="H143" i="3"/>
  <c r="I143" i="3"/>
  <c r="H144" i="3"/>
  <c r="I144" i="3"/>
  <c r="H145" i="3"/>
  <c r="I145" i="3"/>
  <c r="H146" i="3"/>
  <c r="I146" i="3"/>
  <c r="H147" i="3"/>
  <c r="I147" i="3"/>
  <c r="H148" i="3"/>
  <c r="I148" i="3"/>
  <c r="H149" i="3"/>
  <c r="I149" i="3"/>
  <c r="H150" i="3"/>
  <c r="I150" i="3"/>
  <c r="H151" i="3"/>
  <c r="I151" i="3"/>
  <c r="H152" i="3"/>
  <c r="I152" i="3"/>
  <c r="H153" i="3"/>
  <c r="I153" i="3"/>
  <c r="H154" i="3"/>
  <c r="I154" i="3"/>
  <c r="H155" i="3"/>
  <c r="I155" i="3"/>
  <c r="H156" i="3"/>
  <c r="I156" i="3"/>
  <c r="H157" i="3"/>
  <c r="I157" i="3"/>
  <c r="H158" i="3"/>
  <c r="I158" i="3"/>
  <c r="H159" i="3"/>
  <c r="I159" i="3"/>
  <c r="H160" i="3"/>
  <c r="I160" i="3"/>
  <c r="H161" i="3"/>
  <c r="I161" i="3"/>
  <c r="H162" i="3"/>
  <c r="I162" i="3"/>
  <c r="H163" i="3"/>
  <c r="I163" i="3"/>
  <c r="H164" i="3"/>
  <c r="I164" i="3"/>
  <c r="H165" i="3"/>
  <c r="I165" i="3"/>
  <c r="H166" i="3"/>
  <c r="I166" i="3"/>
  <c r="H167" i="3"/>
  <c r="I167" i="3"/>
  <c r="H168" i="3"/>
  <c r="I168" i="3"/>
  <c r="H169" i="3"/>
  <c r="I169" i="3"/>
  <c r="H170" i="3"/>
  <c r="I170" i="3"/>
  <c r="H171" i="3"/>
  <c r="I171" i="3"/>
  <c r="H172" i="3"/>
  <c r="I172" i="3"/>
  <c r="H173" i="3"/>
  <c r="I173" i="3"/>
  <c r="H174" i="3"/>
  <c r="I174" i="3"/>
  <c r="H175" i="3"/>
  <c r="I175" i="3"/>
  <c r="H176" i="3"/>
  <c r="I176" i="3"/>
  <c r="H177" i="3"/>
  <c r="I177" i="3"/>
  <c r="H178" i="3"/>
  <c r="I178" i="3"/>
  <c r="H179" i="3"/>
  <c r="I179" i="3"/>
  <c r="H180" i="3"/>
  <c r="I180" i="3"/>
  <c r="H181" i="3"/>
  <c r="I181" i="3"/>
  <c r="H182" i="3"/>
  <c r="I182" i="3"/>
  <c r="H183" i="3"/>
  <c r="I183" i="3"/>
  <c r="H184" i="3"/>
  <c r="I184" i="3"/>
  <c r="H185" i="3"/>
  <c r="I185" i="3"/>
  <c r="H186" i="3"/>
  <c r="I186" i="3"/>
  <c r="H187" i="3"/>
  <c r="I187" i="3"/>
  <c r="H188" i="3"/>
  <c r="I188" i="3"/>
  <c r="H189" i="3"/>
  <c r="I189" i="3"/>
  <c r="H190" i="3"/>
  <c r="I190" i="3"/>
  <c r="H191" i="3"/>
  <c r="I191" i="3"/>
  <c r="H192" i="3"/>
  <c r="I192" i="3"/>
  <c r="H193" i="3"/>
  <c r="I193" i="3"/>
  <c r="H194" i="3"/>
  <c r="I194" i="3"/>
  <c r="H195" i="3"/>
  <c r="I195" i="3"/>
  <c r="H196" i="3"/>
  <c r="I196" i="3"/>
  <c r="H197" i="3"/>
  <c r="I197" i="3"/>
  <c r="H198" i="3"/>
  <c r="I198" i="3"/>
  <c r="H199" i="3"/>
  <c r="I199" i="3"/>
  <c r="H200" i="3"/>
  <c r="I200" i="3"/>
  <c r="H201" i="3"/>
  <c r="I201" i="3"/>
  <c r="H202" i="3"/>
  <c r="I202" i="3"/>
  <c r="H203" i="3"/>
  <c r="I203" i="3"/>
  <c r="H204" i="3"/>
  <c r="I204" i="3"/>
  <c r="H205" i="3"/>
  <c r="I205" i="3"/>
  <c r="H206" i="3"/>
  <c r="I206" i="3"/>
  <c r="H207" i="3"/>
  <c r="I207" i="3"/>
  <c r="H208" i="3"/>
  <c r="I208" i="3"/>
  <c r="H209" i="3"/>
  <c r="I209" i="3"/>
  <c r="H210" i="3"/>
  <c r="I210" i="3"/>
  <c r="H211" i="3"/>
  <c r="I211" i="3"/>
  <c r="H212" i="3"/>
  <c r="I212" i="3"/>
  <c r="H213" i="3"/>
  <c r="I213" i="3"/>
  <c r="H214" i="3"/>
  <c r="I214" i="3"/>
  <c r="H215" i="3"/>
  <c r="I215" i="3"/>
  <c r="H216" i="3"/>
  <c r="I216" i="3"/>
  <c r="H217" i="3"/>
  <c r="I217" i="3"/>
  <c r="H218" i="3"/>
  <c r="I218" i="3"/>
  <c r="H219" i="3"/>
  <c r="I219" i="3"/>
  <c r="H220" i="3"/>
  <c r="I220" i="3"/>
  <c r="H221" i="3"/>
  <c r="I221" i="3"/>
  <c r="H222" i="3"/>
  <c r="I222" i="3"/>
  <c r="H223" i="3"/>
  <c r="I223" i="3"/>
  <c r="H224" i="3"/>
  <c r="I224" i="3"/>
  <c r="H225" i="3"/>
  <c r="I225" i="3"/>
  <c r="H226" i="3"/>
  <c r="I226" i="3"/>
  <c r="H227" i="3"/>
  <c r="I227" i="3"/>
  <c r="H228" i="3"/>
  <c r="I228" i="3"/>
  <c r="H229" i="3"/>
  <c r="I229" i="3"/>
  <c r="H230" i="3"/>
  <c r="I230" i="3"/>
  <c r="H231" i="3"/>
  <c r="I231" i="3"/>
  <c r="H232" i="3"/>
  <c r="I232" i="3"/>
  <c r="H233" i="3"/>
  <c r="I233" i="3"/>
  <c r="H234" i="3"/>
  <c r="I234" i="3"/>
  <c r="H235" i="3"/>
  <c r="I235" i="3"/>
  <c r="H236" i="3"/>
  <c r="I236" i="3"/>
  <c r="H237" i="3"/>
  <c r="I237" i="3"/>
  <c r="H238" i="3"/>
  <c r="I238" i="3"/>
  <c r="H239" i="3"/>
  <c r="I239" i="3"/>
  <c r="H240" i="3"/>
  <c r="I240" i="3"/>
  <c r="H241" i="3"/>
  <c r="I241" i="3"/>
  <c r="H242" i="3"/>
  <c r="I242" i="3"/>
  <c r="H243" i="3"/>
  <c r="I243" i="3"/>
  <c r="H244" i="3"/>
  <c r="I244" i="3"/>
  <c r="H245" i="3"/>
  <c r="I245" i="3"/>
  <c r="H246" i="3"/>
  <c r="I246" i="3"/>
  <c r="H247" i="3"/>
  <c r="I247" i="3"/>
  <c r="H248" i="3"/>
  <c r="I248" i="3"/>
  <c r="H249" i="3"/>
  <c r="I249" i="3"/>
  <c r="H250" i="3"/>
  <c r="I250" i="3"/>
  <c r="H251" i="3"/>
  <c r="I251" i="3"/>
  <c r="H252" i="3"/>
  <c r="I252" i="3"/>
  <c r="H253" i="3"/>
  <c r="I253" i="3"/>
  <c r="H254" i="3"/>
  <c r="I254" i="3"/>
  <c r="H255" i="3"/>
  <c r="I255" i="3"/>
  <c r="H256" i="3"/>
  <c r="I256" i="3"/>
  <c r="H257" i="3"/>
  <c r="I257" i="3"/>
  <c r="H258" i="3"/>
  <c r="I258" i="3"/>
  <c r="H259" i="3"/>
  <c r="I259" i="3"/>
  <c r="H260" i="3"/>
  <c r="I260" i="3"/>
  <c r="H261" i="3"/>
  <c r="I261" i="3"/>
  <c r="H262" i="3"/>
  <c r="I262" i="3"/>
  <c r="H263" i="3"/>
  <c r="I263" i="3"/>
  <c r="H264" i="3"/>
  <c r="I264" i="3"/>
  <c r="H265" i="3"/>
  <c r="I265" i="3"/>
  <c r="H266" i="3"/>
  <c r="I266" i="3"/>
  <c r="H267" i="3"/>
  <c r="I267" i="3"/>
  <c r="H268" i="3"/>
  <c r="I268" i="3"/>
  <c r="H269" i="3"/>
  <c r="I269" i="3"/>
  <c r="H270" i="3"/>
  <c r="I270" i="3"/>
  <c r="H271" i="3"/>
  <c r="I271" i="3"/>
  <c r="H272" i="3"/>
  <c r="I272" i="3"/>
  <c r="H273" i="3"/>
  <c r="I273" i="3"/>
  <c r="H274" i="3"/>
  <c r="I274" i="3"/>
  <c r="H275" i="3"/>
  <c r="I275" i="3"/>
  <c r="H276" i="3"/>
  <c r="I276" i="3"/>
  <c r="H277" i="3"/>
  <c r="I277" i="3"/>
  <c r="H278" i="3"/>
  <c r="I278" i="3"/>
  <c r="H279" i="3"/>
  <c r="I279" i="3"/>
  <c r="H280" i="3"/>
  <c r="I280" i="3"/>
  <c r="H281" i="3"/>
  <c r="I281" i="3"/>
  <c r="H282" i="3"/>
  <c r="I282" i="3"/>
  <c r="H283" i="3"/>
  <c r="I283" i="3"/>
  <c r="H284" i="3"/>
  <c r="I284" i="3"/>
  <c r="H285" i="3"/>
  <c r="I285" i="3"/>
  <c r="H286" i="3"/>
  <c r="I286" i="3"/>
  <c r="H287" i="3"/>
  <c r="I287" i="3"/>
  <c r="H288" i="3"/>
  <c r="I288" i="3"/>
  <c r="H289" i="3"/>
  <c r="I289" i="3"/>
  <c r="H290" i="3"/>
  <c r="I290" i="3"/>
  <c r="H291" i="3"/>
  <c r="I291" i="3"/>
  <c r="H292" i="3"/>
  <c r="I292" i="3"/>
  <c r="H293" i="3"/>
  <c r="I293" i="3"/>
  <c r="H294" i="3"/>
  <c r="I294" i="3"/>
  <c r="H295" i="3"/>
  <c r="I295" i="3"/>
  <c r="H296" i="3"/>
  <c r="I296" i="3"/>
  <c r="H297" i="3"/>
  <c r="I297" i="3"/>
  <c r="H298" i="3"/>
  <c r="I298" i="3"/>
  <c r="H299" i="3"/>
  <c r="I299" i="3"/>
  <c r="H300" i="3"/>
  <c r="I300" i="3"/>
  <c r="H301" i="3"/>
  <c r="I301" i="3"/>
  <c r="H302" i="3"/>
  <c r="I302" i="3"/>
  <c r="H303" i="3"/>
  <c r="I303" i="3"/>
  <c r="H304" i="3"/>
  <c r="I304" i="3"/>
  <c r="H305" i="3"/>
  <c r="I305" i="3"/>
  <c r="H306" i="3"/>
  <c r="I306" i="3"/>
  <c r="H307" i="3"/>
  <c r="I307" i="3"/>
  <c r="H308" i="3"/>
  <c r="I308" i="3"/>
  <c r="H309" i="3"/>
  <c r="I309" i="3"/>
  <c r="H310" i="3"/>
  <c r="I310" i="3"/>
  <c r="H311" i="3"/>
  <c r="I311" i="3"/>
  <c r="H312" i="3"/>
  <c r="I312" i="3"/>
  <c r="H313" i="3"/>
  <c r="I313" i="3"/>
  <c r="H314" i="3"/>
  <c r="I314" i="3"/>
  <c r="H315" i="3"/>
  <c r="I315" i="3"/>
  <c r="H316" i="3"/>
  <c r="I316" i="3"/>
  <c r="H317" i="3"/>
  <c r="I317" i="3"/>
  <c r="H318" i="3"/>
  <c r="I318" i="3"/>
  <c r="H319" i="3"/>
  <c r="I319" i="3"/>
  <c r="H320" i="3"/>
  <c r="I320" i="3"/>
  <c r="H321" i="3"/>
  <c r="I321" i="3"/>
  <c r="H322" i="3"/>
  <c r="I322" i="3"/>
  <c r="H323" i="3"/>
  <c r="I323" i="3"/>
  <c r="H324" i="3"/>
  <c r="I324" i="3"/>
  <c r="H325" i="3"/>
  <c r="I325" i="3"/>
  <c r="H326" i="3"/>
  <c r="I326" i="3"/>
  <c r="H327" i="3"/>
  <c r="I327" i="3"/>
  <c r="H328" i="3"/>
  <c r="I328" i="3"/>
  <c r="H329" i="3"/>
  <c r="I329" i="3"/>
  <c r="H330" i="3"/>
  <c r="I330" i="3"/>
  <c r="H331" i="3"/>
  <c r="I331" i="3"/>
  <c r="H332" i="3"/>
  <c r="I332" i="3"/>
  <c r="H333" i="3"/>
  <c r="I333" i="3"/>
  <c r="H334" i="3"/>
  <c r="I334" i="3"/>
  <c r="H335" i="3"/>
  <c r="I335" i="3"/>
  <c r="H336" i="3"/>
  <c r="I336" i="3"/>
  <c r="H337" i="3"/>
  <c r="I337" i="3"/>
  <c r="H338" i="3"/>
  <c r="I338" i="3"/>
  <c r="H339" i="3"/>
  <c r="I339" i="3"/>
  <c r="H340" i="3"/>
  <c r="I340" i="3"/>
  <c r="H341" i="3"/>
  <c r="I341" i="3"/>
  <c r="H342" i="3"/>
  <c r="I342" i="3"/>
  <c r="H343" i="3"/>
  <c r="I343" i="3"/>
  <c r="H344" i="3"/>
  <c r="I344" i="3"/>
  <c r="H345" i="3"/>
  <c r="I345" i="3"/>
  <c r="H346" i="3"/>
  <c r="I346" i="3"/>
  <c r="H347" i="3"/>
  <c r="I347" i="3"/>
  <c r="H348" i="3"/>
  <c r="I348" i="3"/>
  <c r="H349" i="3"/>
  <c r="I349" i="3"/>
  <c r="H350" i="3"/>
  <c r="I350" i="3"/>
  <c r="H351" i="3"/>
  <c r="I351" i="3"/>
  <c r="H352" i="3"/>
  <c r="I352" i="3"/>
  <c r="H353" i="3"/>
  <c r="I353" i="3"/>
  <c r="H354" i="3"/>
  <c r="I354" i="3"/>
  <c r="H355" i="3"/>
  <c r="I355" i="3"/>
  <c r="H356" i="3"/>
  <c r="I356" i="3"/>
  <c r="H357" i="3"/>
  <c r="I357" i="3"/>
  <c r="H358" i="3"/>
  <c r="I358" i="3"/>
  <c r="H359" i="3"/>
  <c r="I359" i="3"/>
  <c r="H360" i="3"/>
  <c r="I360" i="3"/>
  <c r="H361" i="3"/>
  <c r="I361" i="3"/>
  <c r="H362" i="3"/>
  <c r="I362" i="3"/>
  <c r="H363" i="3"/>
  <c r="I363" i="3"/>
  <c r="H364" i="3"/>
  <c r="I364" i="3"/>
  <c r="H365" i="3"/>
  <c r="I365" i="3"/>
  <c r="H366" i="3"/>
  <c r="I366" i="3"/>
  <c r="H367" i="3"/>
  <c r="I367" i="3"/>
  <c r="H368" i="3"/>
  <c r="I368" i="3"/>
  <c r="H369" i="3"/>
  <c r="I369" i="3"/>
  <c r="H370" i="3"/>
  <c r="I370" i="3"/>
  <c r="H371" i="3"/>
  <c r="I371" i="3"/>
  <c r="H372" i="3"/>
  <c r="I372" i="3"/>
  <c r="H373" i="3"/>
  <c r="I373" i="3"/>
  <c r="H374" i="3"/>
  <c r="I374" i="3"/>
  <c r="H375" i="3"/>
  <c r="I375" i="3"/>
  <c r="H376" i="3"/>
  <c r="I376" i="3"/>
  <c r="H377" i="3"/>
  <c r="I377" i="3"/>
  <c r="H378" i="3"/>
  <c r="I378" i="3"/>
  <c r="H379" i="3"/>
  <c r="I379" i="3"/>
  <c r="H380" i="3"/>
  <c r="I380" i="3"/>
  <c r="H381" i="3"/>
  <c r="I381" i="3"/>
  <c r="H382" i="3"/>
  <c r="I382" i="3"/>
  <c r="H383" i="3"/>
  <c r="I383" i="3"/>
  <c r="H384" i="3"/>
  <c r="I384" i="3"/>
  <c r="H385" i="3"/>
  <c r="I385" i="3"/>
  <c r="H386" i="3"/>
  <c r="I386" i="3"/>
  <c r="H387" i="3"/>
  <c r="I387" i="3"/>
  <c r="H388" i="3"/>
  <c r="I388" i="3"/>
  <c r="H389" i="3"/>
  <c r="I389" i="3"/>
  <c r="H390" i="3"/>
  <c r="I390" i="3"/>
  <c r="H391" i="3"/>
  <c r="I391" i="3"/>
  <c r="H392" i="3"/>
  <c r="I392" i="3"/>
  <c r="H393" i="3"/>
  <c r="I393" i="3"/>
  <c r="H394" i="3"/>
  <c r="I394" i="3"/>
  <c r="H395" i="3"/>
  <c r="I395" i="3"/>
  <c r="H396" i="3"/>
  <c r="I396" i="3"/>
  <c r="H397" i="3"/>
  <c r="I397" i="3"/>
  <c r="H398" i="3"/>
  <c r="I398" i="3"/>
  <c r="H399" i="3"/>
  <c r="I399" i="3"/>
  <c r="H400" i="3"/>
  <c r="I400" i="3"/>
  <c r="H401" i="3"/>
  <c r="I401" i="3"/>
  <c r="H402" i="3"/>
  <c r="I402" i="3"/>
  <c r="H403" i="3"/>
  <c r="I403" i="3"/>
  <c r="H404" i="3"/>
  <c r="I404" i="3"/>
  <c r="H405" i="3"/>
  <c r="I405" i="3"/>
  <c r="H406" i="3"/>
  <c r="I406" i="3"/>
  <c r="H407" i="3"/>
  <c r="I407" i="3"/>
  <c r="H408" i="3"/>
  <c r="I408" i="3"/>
  <c r="H409" i="3"/>
  <c r="I409" i="3"/>
  <c r="H410" i="3"/>
  <c r="I410" i="3"/>
  <c r="H411" i="3"/>
  <c r="I411" i="3"/>
  <c r="H412" i="3"/>
  <c r="I412" i="3"/>
  <c r="H413" i="3"/>
  <c r="I413" i="3"/>
  <c r="H414" i="3"/>
  <c r="I414" i="3"/>
  <c r="H415" i="3"/>
  <c r="I415" i="3"/>
  <c r="H416" i="3"/>
  <c r="I416" i="3"/>
  <c r="H417" i="3"/>
  <c r="I417" i="3"/>
  <c r="H418" i="3"/>
  <c r="I418" i="3"/>
  <c r="H419" i="3"/>
  <c r="I419" i="3"/>
  <c r="H420" i="3"/>
  <c r="I420" i="3"/>
  <c r="H421" i="3"/>
  <c r="I421" i="3"/>
  <c r="H422" i="3"/>
  <c r="I422" i="3"/>
  <c r="H423" i="3"/>
  <c r="I423" i="3"/>
  <c r="H424" i="3"/>
  <c r="I424" i="3"/>
  <c r="H425" i="3"/>
  <c r="I425" i="3"/>
  <c r="H426" i="3"/>
  <c r="I426" i="3"/>
  <c r="H427" i="3"/>
  <c r="I427" i="3"/>
  <c r="H428" i="3"/>
  <c r="I428" i="3"/>
  <c r="H429" i="3"/>
  <c r="I429" i="3"/>
  <c r="H430" i="3"/>
  <c r="I430" i="3"/>
  <c r="H431" i="3"/>
  <c r="I431" i="3"/>
  <c r="H432" i="3"/>
  <c r="I432" i="3"/>
  <c r="H433" i="3"/>
  <c r="I433" i="3"/>
  <c r="H434" i="3"/>
  <c r="I434" i="3"/>
  <c r="H435" i="3"/>
  <c r="I435" i="3"/>
  <c r="H436" i="3"/>
  <c r="I436" i="3"/>
  <c r="H437" i="3"/>
  <c r="I437" i="3"/>
  <c r="H438" i="3"/>
  <c r="I438" i="3"/>
  <c r="H439" i="3"/>
  <c r="I439" i="3"/>
  <c r="H440" i="3"/>
  <c r="I440" i="3"/>
  <c r="H441" i="3"/>
  <c r="I441" i="3"/>
  <c r="H442" i="3"/>
  <c r="I442" i="3"/>
  <c r="H443" i="3"/>
  <c r="I443" i="3"/>
  <c r="H444" i="3"/>
  <c r="I444" i="3"/>
  <c r="H445" i="3"/>
  <c r="I445" i="3"/>
  <c r="H446" i="3"/>
  <c r="I446" i="3"/>
  <c r="H447" i="3"/>
  <c r="I447" i="3"/>
  <c r="H448" i="3"/>
  <c r="I448" i="3"/>
  <c r="H449" i="3"/>
  <c r="I449" i="3"/>
  <c r="H450" i="3"/>
  <c r="I450" i="3"/>
  <c r="H451" i="3"/>
  <c r="I451" i="3"/>
  <c r="H452" i="3"/>
  <c r="I452" i="3"/>
  <c r="H453" i="3"/>
  <c r="I453" i="3"/>
  <c r="H454" i="3"/>
  <c r="I454" i="3"/>
  <c r="H455" i="3"/>
  <c r="I455" i="3"/>
  <c r="H456" i="3"/>
  <c r="I456" i="3"/>
  <c r="H457" i="3"/>
  <c r="I457" i="3"/>
  <c r="H458" i="3"/>
  <c r="I458" i="3"/>
  <c r="H459" i="3"/>
  <c r="I459" i="3"/>
  <c r="H460" i="3"/>
  <c r="I460" i="3"/>
  <c r="H461" i="3"/>
  <c r="I461" i="3"/>
  <c r="H462" i="3"/>
  <c r="I462" i="3"/>
  <c r="H463" i="3"/>
  <c r="I463" i="3"/>
  <c r="H464" i="3"/>
  <c r="I464" i="3"/>
  <c r="H465" i="3"/>
  <c r="I465" i="3"/>
  <c r="H466" i="3"/>
  <c r="I466" i="3"/>
  <c r="H467" i="3"/>
  <c r="I467" i="3"/>
  <c r="H468" i="3"/>
  <c r="I468" i="3"/>
  <c r="H469" i="3"/>
  <c r="I469" i="3"/>
  <c r="H470" i="3"/>
  <c r="I470" i="3"/>
  <c r="H471" i="3"/>
  <c r="I471" i="3"/>
  <c r="H472" i="3"/>
  <c r="I472" i="3"/>
  <c r="H473" i="3"/>
  <c r="I473" i="3"/>
  <c r="H474" i="3"/>
  <c r="I474" i="3"/>
  <c r="H475" i="3"/>
  <c r="I475" i="3"/>
  <c r="H476" i="3"/>
  <c r="I476" i="3"/>
  <c r="H477" i="3"/>
  <c r="I477" i="3"/>
  <c r="H478" i="3"/>
  <c r="I478" i="3"/>
  <c r="H479" i="3"/>
  <c r="I479" i="3"/>
  <c r="H480" i="3"/>
  <c r="I480" i="3"/>
  <c r="H481" i="3"/>
  <c r="I481" i="3"/>
  <c r="H482" i="3"/>
  <c r="I482" i="3"/>
  <c r="H483" i="3"/>
  <c r="I483" i="3"/>
  <c r="H484" i="3"/>
  <c r="I484" i="3"/>
  <c r="H485" i="3"/>
  <c r="I485" i="3"/>
  <c r="H486" i="3"/>
  <c r="I486" i="3"/>
  <c r="H487" i="3"/>
  <c r="I487" i="3"/>
  <c r="H488" i="3"/>
  <c r="I488" i="3"/>
  <c r="H489" i="3"/>
  <c r="I489" i="3"/>
  <c r="H490" i="3"/>
  <c r="I490" i="3"/>
  <c r="H491" i="3"/>
  <c r="I491" i="3"/>
  <c r="H492" i="3"/>
  <c r="I492" i="3"/>
  <c r="H493" i="3"/>
  <c r="I493" i="3"/>
  <c r="H494" i="3"/>
  <c r="I494" i="3"/>
  <c r="H495" i="3"/>
  <c r="I495" i="3"/>
  <c r="H496" i="3"/>
  <c r="I496" i="3"/>
  <c r="H497" i="3"/>
  <c r="I497" i="3"/>
  <c r="H498" i="3"/>
  <c r="I498" i="3"/>
  <c r="H499" i="3"/>
  <c r="I499" i="3"/>
  <c r="H500" i="3"/>
  <c r="I500" i="3"/>
  <c r="H501" i="3"/>
  <c r="I501" i="3"/>
  <c r="H502" i="3"/>
  <c r="I502" i="3"/>
  <c r="H503" i="3"/>
  <c r="I503" i="3"/>
  <c r="H504" i="3"/>
  <c r="I504" i="3"/>
  <c r="H505" i="3"/>
  <c r="I505" i="3"/>
  <c r="H506" i="3"/>
  <c r="I506" i="3"/>
  <c r="H507" i="3"/>
  <c r="I507" i="3"/>
  <c r="H508" i="3"/>
  <c r="I508" i="3"/>
  <c r="H509" i="3"/>
  <c r="I509" i="3"/>
  <c r="H510" i="3"/>
  <c r="I510" i="3"/>
  <c r="H511" i="3"/>
  <c r="I511" i="3"/>
  <c r="H512" i="3"/>
  <c r="I512" i="3"/>
  <c r="H513" i="3"/>
  <c r="I513" i="3"/>
  <c r="H514" i="3"/>
  <c r="I514" i="3"/>
  <c r="H515" i="3"/>
  <c r="I515" i="3"/>
  <c r="H516" i="3"/>
  <c r="I516" i="3"/>
  <c r="H517" i="3"/>
  <c r="I517" i="3"/>
  <c r="H518" i="3"/>
  <c r="I518" i="3"/>
  <c r="H519" i="3"/>
  <c r="I519" i="3"/>
  <c r="H520" i="3"/>
  <c r="I520" i="3"/>
  <c r="H521" i="3"/>
  <c r="I521" i="3"/>
  <c r="H522" i="3"/>
  <c r="I522" i="3"/>
  <c r="H523" i="3"/>
  <c r="I523" i="3"/>
  <c r="H524" i="3"/>
  <c r="I524" i="3"/>
  <c r="H525" i="3"/>
  <c r="I525" i="3"/>
  <c r="H526" i="3"/>
  <c r="I526" i="3"/>
  <c r="H527" i="3"/>
  <c r="I527" i="3"/>
  <c r="H528" i="3"/>
  <c r="I528" i="3"/>
  <c r="H529" i="3"/>
  <c r="I529" i="3"/>
  <c r="H530" i="3"/>
  <c r="I530" i="3"/>
  <c r="H531" i="3"/>
  <c r="I531" i="3"/>
  <c r="H532" i="3"/>
  <c r="I532" i="3"/>
  <c r="H533" i="3"/>
  <c r="I533" i="3"/>
  <c r="H534" i="3"/>
  <c r="I534" i="3"/>
  <c r="H535" i="3"/>
  <c r="I535" i="3"/>
  <c r="H536" i="3"/>
  <c r="I536" i="3"/>
  <c r="H537" i="3"/>
  <c r="I537" i="3"/>
  <c r="H538" i="3"/>
  <c r="I538" i="3"/>
  <c r="H539" i="3"/>
  <c r="I539" i="3"/>
  <c r="H540" i="3"/>
  <c r="I540" i="3"/>
  <c r="H541" i="3"/>
  <c r="I541" i="3"/>
  <c r="H542" i="3"/>
  <c r="I542" i="3"/>
  <c r="H543" i="3"/>
  <c r="I543" i="3"/>
  <c r="H544" i="3"/>
  <c r="I544" i="3"/>
  <c r="H545" i="3"/>
  <c r="I545" i="3"/>
  <c r="H546" i="3"/>
  <c r="I546" i="3"/>
  <c r="H547" i="3"/>
  <c r="I547" i="3"/>
  <c r="H548" i="3"/>
  <c r="I548" i="3"/>
  <c r="H549" i="3"/>
  <c r="I549" i="3"/>
  <c r="H550" i="3"/>
  <c r="I550" i="3"/>
  <c r="H551" i="3"/>
  <c r="I551" i="3"/>
  <c r="H552" i="3"/>
  <c r="I552" i="3"/>
  <c r="H553" i="3"/>
  <c r="I553" i="3"/>
  <c r="H554" i="3"/>
  <c r="I554" i="3"/>
  <c r="H555" i="3"/>
  <c r="I555" i="3"/>
  <c r="H556" i="3"/>
  <c r="I556" i="3"/>
  <c r="H557" i="3"/>
  <c r="I557" i="3"/>
  <c r="H558" i="3"/>
  <c r="I558" i="3"/>
  <c r="H559" i="3"/>
  <c r="I559" i="3"/>
  <c r="H560" i="3"/>
  <c r="I560" i="3"/>
  <c r="H561" i="3"/>
  <c r="I561" i="3"/>
  <c r="H562" i="3"/>
  <c r="I562" i="3"/>
  <c r="H563" i="3"/>
  <c r="I563" i="3"/>
  <c r="H564" i="3"/>
  <c r="I564" i="3"/>
  <c r="H565" i="3"/>
  <c r="I565" i="3"/>
  <c r="H566" i="3"/>
  <c r="I566" i="3"/>
  <c r="H567" i="3"/>
  <c r="I567" i="3"/>
  <c r="H568" i="3"/>
  <c r="I568" i="3"/>
  <c r="H569" i="3"/>
  <c r="I569" i="3"/>
  <c r="H570" i="3"/>
  <c r="I570" i="3"/>
  <c r="H571" i="3"/>
  <c r="I571" i="3"/>
  <c r="H572" i="3"/>
  <c r="I572" i="3"/>
  <c r="H573" i="3"/>
  <c r="I573" i="3"/>
  <c r="H574" i="3"/>
  <c r="I574" i="3"/>
  <c r="H575" i="3"/>
  <c r="I575" i="3"/>
  <c r="H576" i="3"/>
  <c r="I576" i="3"/>
  <c r="H577" i="3"/>
  <c r="I577" i="3"/>
  <c r="H578" i="3"/>
  <c r="I578" i="3"/>
  <c r="H579" i="3"/>
  <c r="I579" i="3"/>
  <c r="H580" i="3"/>
  <c r="I580" i="3"/>
  <c r="H581" i="3"/>
  <c r="I581" i="3"/>
  <c r="H582" i="3"/>
  <c r="I582" i="3"/>
  <c r="H583" i="3"/>
  <c r="I583" i="3"/>
  <c r="H584" i="3"/>
  <c r="I584" i="3"/>
  <c r="H585" i="3"/>
  <c r="I585" i="3"/>
  <c r="H586" i="3"/>
  <c r="I586" i="3"/>
  <c r="H587" i="3"/>
  <c r="I587" i="3"/>
  <c r="H588" i="3"/>
  <c r="I588" i="3"/>
  <c r="H589" i="3"/>
  <c r="I589" i="3"/>
  <c r="H590" i="3"/>
  <c r="I590" i="3"/>
  <c r="H591" i="3"/>
  <c r="I591" i="3"/>
  <c r="H592" i="3"/>
  <c r="I592" i="3"/>
  <c r="H593" i="3"/>
  <c r="I593" i="3"/>
  <c r="H594" i="3"/>
  <c r="I594" i="3"/>
  <c r="H595" i="3"/>
  <c r="I595" i="3"/>
  <c r="H596" i="3"/>
  <c r="I596" i="3"/>
  <c r="H597" i="3"/>
  <c r="I597" i="3"/>
  <c r="H598" i="3"/>
  <c r="I598" i="3"/>
  <c r="H599" i="3"/>
  <c r="I599" i="3"/>
  <c r="H600" i="3"/>
  <c r="I600" i="3"/>
  <c r="H601" i="3"/>
  <c r="I601" i="3"/>
  <c r="H602" i="3"/>
  <c r="I602" i="3"/>
  <c r="H603" i="3"/>
  <c r="I603" i="3"/>
  <c r="H604" i="3"/>
  <c r="I604" i="3"/>
  <c r="H605" i="3"/>
  <c r="I605" i="3"/>
  <c r="H606" i="3"/>
  <c r="I606" i="3"/>
  <c r="H607" i="3"/>
  <c r="I607" i="3"/>
  <c r="H608" i="3"/>
  <c r="I608" i="3"/>
  <c r="H609" i="3"/>
  <c r="I609" i="3"/>
  <c r="H610" i="3"/>
  <c r="I610" i="3"/>
  <c r="H611" i="3"/>
  <c r="I611" i="3"/>
  <c r="H612" i="3"/>
  <c r="I612" i="3"/>
  <c r="H613" i="3"/>
  <c r="I613" i="3"/>
  <c r="H614" i="3"/>
  <c r="I614" i="3"/>
  <c r="H615" i="3"/>
  <c r="I615" i="3"/>
  <c r="H616" i="3"/>
  <c r="I616" i="3"/>
  <c r="H617" i="3"/>
  <c r="I617" i="3"/>
  <c r="H618" i="3"/>
  <c r="I618" i="3"/>
  <c r="H619" i="3"/>
  <c r="I619" i="3"/>
  <c r="H620" i="3"/>
  <c r="I620" i="3"/>
  <c r="H621" i="3"/>
  <c r="I621" i="3"/>
  <c r="H622" i="3"/>
  <c r="I622" i="3"/>
  <c r="H623" i="3"/>
  <c r="I623" i="3"/>
  <c r="H624" i="3"/>
  <c r="I624" i="3"/>
  <c r="H625" i="3"/>
  <c r="I625" i="3"/>
  <c r="H626" i="3"/>
  <c r="I626" i="3"/>
  <c r="H627" i="3"/>
  <c r="I627" i="3"/>
  <c r="H628" i="3"/>
  <c r="I628" i="3"/>
  <c r="H629" i="3"/>
  <c r="I629" i="3"/>
  <c r="H630" i="3"/>
  <c r="I630" i="3"/>
  <c r="H631" i="3"/>
  <c r="I631" i="3"/>
  <c r="H632" i="3"/>
  <c r="I632" i="3"/>
  <c r="H633" i="3"/>
  <c r="I633" i="3"/>
  <c r="H634" i="3"/>
  <c r="I634" i="3"/>
  <c r="H635" i="3"/>
  <c r="I635" i="3"/>
  <c r="H636" i="3"/>
  <c r="I636" i="3"/>
  <c r="H637" i="3"/>
  <c r="I637" i="3"/>
  <c r="H638" i="3"/>
  <c r="I638" i="3"/>
  <c r="H639" i="3"/>
  <c r="I639" i="3"/>
  <c r="H640" i="3"/>
  <c r="I640" i="3"/>
  <c r="H641" i="3"/>
  <c r="I641" i="3"/>
  <c r="H642" i="3"/>
  <c r="I642" i="3"/>
  <c r="H643" i="3"/>
  <c r="I643" i="3"/>
  <c r="H644" i="3"/>
  <c r="I644" i="3"/>
  <c r="H645" i="3"/>
  <c r="I645" i="3"/>
  <c r="H646" i="3"/>
  <c r="I646" i="3"/>
  <c r="H647" i="3"/>
  <c r="I647" i="3"/>
  <c r="H648" i="3"/>
  <c r="I648" i="3"/>
  <c r="H649" i="3"/>
  <c r="I649" i="3"/>
  <c r="H650" i="3"/>
  <c r="I650" i="3"/>
  <c r="H651" i="3"/>
  <c r="I651" i="3"/>
  <c r="H652" i="3"/>
  <c r="I652" i="3"/>
  <c r="H653" i="3"/>
  <c r="I653" i="3"/>
  <c r="H654" i="3"/>
  <c r="I654" i="3"/>
  <c r="H655" i="3"/>
  <c r="I655" i="3"/>
  <c r="H656" i="3"/>
  <c r="I656" i="3"/>
  <c r="H657" i="3"/>
  <c r="I657" i="3"/>
  <c r="H658" i="3"/>
  <c r="I658" i="3"/>
  <c r="H659" i="3"/>
  <c r="I659" i="3"/>
  <c r="H660" i="3"/>
  <c r="I660" i="3"/>
  <c r="H661" i="3"/>
  <c r="I661" i="3"/>
  <c r="H662" i="3"/>
  <c r="I662" i="3"/>
  <c r="H663" i="3"/>
  <c r="I663" i="3"/>
  <c r="H664" i="3"/>
  <c r="I664" i="3"/>
  <c r="H665" i="3"/>
  <c r="I665" i="3"/>
  <c r="H666" i="3"/>
  <c r="I666" i="3"/>
  <c r="H667" i="3"/>
  <c r="I667" i="3"/>
  <c r="H668" i="3"/>
  <c r="I668" i="3"/>
  <c r="H669" i="3"/>
  <c r="I669" i="3"/>
  <c r="H670" i="3"/>
  <c r="I670" i="3"/>
  <c r="H671" i="3"/>
  <c r="I671" i="3"/>
  <c r="H672" i="3"/>
  <c r="I672" i="3"/>
  <c r="H673" i="3"/>
  <c r="I673" i="3"/>
  <c r="H674" i="3"/>
  <c r="I674" i="3"/>
  <c r="H675" i="3"/>
  <c r="I675" i="3"/>
  <c r="H676" i="3"/>
  <c r="I676" i="3"/>
  <c r="H677" i="3"/>
  <c r="I677" i="3"/>
  <c r="H678" i="3"/>
  <c r="I678" i="3"/>
  <c r="H679" i="3"/>
  <c r="I679" i="3"/>
  <c r="H680" i="3"/>
  <c r="I680" i="3"/>
  <c r="H681" i="3"/>
  <c r="I681" i="3"/>
  <c r="H682" i="3"/>
  <c r="I682" i="3"/>
  <c r="H683" i="3"/>
  <c r="I683" i="3"/>
  <c r="H684" i="3"/>
  <c r="I684" i="3"/>
  <c r="H685" i="3"/>
  <c r="I685" i="3"/>
  <c r="H686" i="3"/>
  <c r="I686" i="3"/>
  <c r="H687" i="3"/>
  <c r="I687" i="3"/>
  <c r="H688" i="3"/>
  <c r="I688" i="3"/>
  <c r="H689" i="3"/>
  <c r="I689" i="3"/>
  <c r="H690" i="3"/>
  <c r="I690" i="3"/>
  <c r="H691" i="3"/>
  <c r="I691" i="3"/>
  <c r="H692" i="3"/>
  <c r="I692" i="3"/>
  <c r="H693" i="3"/>
  <c r="I693" i="3"/>
  <c r="H694" i="3"/>
  <c r="I694" i="3"/>
  <c r="H695" i="3"/>
  <c r="I695" i="3"/>
  <c r="H696" i="3"/>
  <c r="I696" i="3"/>
  <c r="H697" i="3"/>
  <c r="I697" i="3"/>
  <c r="H698" i="3"/>
  <c r="I698" i="3"/>
  <c r="H699" i="3"/>
  <c r="I699" i="3"/>
  <c r="H700" i="3"/>
  <c r="I700" i="3"/>
  <c r="H701" i="3"/>
  <c r="I701" i="3"/>
  <c r="H702" i="3"/>
  <c r="I702" i="3"/>
  <c r="H703" i="3"/>
  <c r="I703" i="3"/>
  <c r="H704" i="3"/>
  <c r="I704" i="3"/>
  <c r="H705" i="3"/>
  <c r="I705" i="3"/>
  <c r="H706" i="3"/>
  <c r="I706" i="3"/>
  <c r="H707" i="3"/>
  <c r="I707" i="3"/>
  <c r="H708" i="3"/>
  <c r="I708" i="3"/>
  <c r="H709" i="3"/>
  <c r="I709" i="3"/>
  <c r="H710" i="3"/>
  <c r="I710" i="3"/>
  <c r="H711" i="3"/>
  <c r="I711" i="3"/>
  <c r="H712" i="3"/>
  <c r="I712" i="3"/>
  <c r="H713" i="3"/>
  <c r="I713" i="3"/>
  <c r="H714" i="3"/>
  <c r="I714" i="3"/>
  <c r="H715" i="3"/>
  <c r="I715" i="3"/>
  <c r="H716" i="3"/>
  <c r="I716" i="3"/>
  <c r="H717" i="3"/>
  <c r="I717" i="3"/>
  <c r="H718" i="3"/>
  <c r="I718" i="3"/>
  <c r="H719" i="3"/>
  <c r="I719" i="3"/>
  <c r="H720" i="3"/>
  <c r="I720" i="3"/>
  <c r="H721" i="3"/>
  <c r="I721" i="3"/>
  <c r="H722" i="3"/>
  <c r="I722" i="3"/>
  <c r="H723" i="3"/>
  <c r="I723" i="3"/>
  <c r="H724" i="3"/>
  <c r="I724" i="3"/>
  <c r="H725" i="3"/>
  <c r="I725" i="3"/>
  <c r="H726" i="3"/>
  <c r="I726" i="3"/>
  <c r="H727" i="3"/>
  <c r="I727" i="3"/>
  <c r="H728" i="3"/>
  <c r="I728" i="3"/>
  <c r="H729" i="3"/>
  <c r="I729" i="3"/>
  <c r="H730" i="3"/>
  <c r="I730" i="3"/>
  <c r="H731" i="3"/>
  <c r="I731" i="3"/>
  <c r="H732" i="3"/>
  <c r="I732" i="3"/>
  <c r="H733" i="3"/>
  <c r="I733" i="3"/>
  <c r="H734" i="3"/>
  <c r="I734" i="3"/>
  <c r="H735" i="3"/>
  <c r="I735" i="3"/>
  <c r="H736" i="3"/>
  <c r="I736" i="3"/>
  <c r="H737" i="3"/>
  <c r="I737" i="3"/>
  <c r="H738" i="3"/>
  <c r="I738" i="3"/>
  <c r="H739" i="3"/>
  <c r="I739" i="3"/>
  <c r="H740" i="3"/>
  <c r="I740" i="3"/>
  <c r="H741" i="3"/>
  <c r="I741" i="3"/>
  <c r="H742" i="3"/>
  <c r="I742" i="3"/>
  <c r="H743" i="3"/>
  <c r="I743" i="3"/>
  <c r="H744" i="3"/>
  <c r="I744" i="3"/>
  <c r="H745" i="3"/>
  <c r="I745" i="3"/>
  <c r="H746" i="3"/>
  <c r="I746" i="3"/>
  <c r="H747" i="3"/>
  <c r="I747" i="3"/>
  <c r="H748" i="3"/>
  <c r="I748" i="3"/>
  <c r="H749" i="3"/>
  <c r="I749" i="3"/>
  <c r="H750" i="3"/>
  <c r="I750" i="3"/>
  <c r="H751" i="3"/>
  <c r="I751" i="3"/>
  <c r="H752" i="3"/>
  <c r="I752" i="3"/>
  <c r="H753" i="3"/>
  <c r="I753" i="3"/>
  <c r="H754" i="3"/>
  <c r="I754" i="3"/>
  <c r="H755" i="3"/>
  <c r="I755" i="3"/>
  <c r="H756" i="3"/>
  <c r="I756" i="3"/>
  <c r="H757" i="3"/>
  <c r="I757" i="3"/>
  <c r="H758" i="3"/>
  <c r="I758" i="3"/>
  <c r="H759" i="3"/>
  <c r="I759" i="3"/>
  <c r="H760" i="3"/>
  <c r="I760" i="3"/>
  <c r="H761" i="3"/>
  <c r="I761" i="3"/>
  <c r="H762" i="3"/>
  <c r="I762" i="3"/>
  <c r="H763" i="3"/>
  <c r="I763" i="3"/>
  <c r="H764" i="3"/>
  <c r="I764" i="3"/>
  <c r="H765" i="3"/>
  <c r="I765" i="3"/>
  <c r="H766" i="3"/>
  <c r="I766" i="3"/>
  <c r="H767" i="3"/>
  <c r="I767" i="3"/>
  <c r="H768" i="3"/>
  <c r="I768" i="3"/>
  <c r="H769" i="3"/>
  <c r="I769" i="3"/>
  <c r="H770" i="3"/>
  <c r="I770" i="3"/>
  <c r="H771" i="3"/>
  <c r="I771" i="3"/>
  <c r="H772" i="3"/>
  <c r="I772" i="3"/>
  <c r="H773" i="3"/>
  <c r="I773" i="3"/>
  <c r="H774" i="3"/>
  <c r="I774" i="3"/>
  <c r="H775" i="3"/>
  <c r="I775" i="3"/>
  <c r="H776" i="3"/>
  <c r="I776" i="3"/>
  <c r="H777" i="3"/>
  <c r="I777" i="3"/>
  <c r="H778" i="3"/>
  <c r="I778" i="3"/>
  <c r="H779" i="3"/>
  <c r="I779" i="3"/>
  <c r="H780" i="3"/>
  <c r="I780" i="3"/>
  <c r="H781" i="3"/>
  <c r="I781" i="3"/>
  <c r="H782" i="3"/>
  <c r="I782" i="3"/>
  <c r="H783" i="3"/>
  <c r="I783" i="3"/>
  <c r="H784" i="3"/>
  <c r="I784" i="3"/>
  <c r="H785" i="3"/>
  <c r="I785" i="3"/>
  <c r="H786" i="3"/>
  <c r="I786" i="3"/>
  <c r="H787" i="3"/>
  <c r="I787" i="3"/>
  <c r="H788" i="3"/>
  <c r="I788" i="3"/>
  <c r="H789" i="3"/>
  <c r="I789" i="3"/>
  <c r="H790" i="3"/>
  <c r="I790" i="3"/>
  <c r="H791" i="3"/>
  <c r="I791" i="3"/>
  <c r="H792" i="3"/>
  <c r="I792" i="3"/>
  <c r="H793" i="3"/>
  <c r="I793" i="3"/>
  <c r="H794" i="3"/>
  <c r="I794" i="3"/>
  <c r="H795" i="3"/>
  <c r="I795" i="3"/>
  <c r="H796" i="3"/>
  <c r="I796" i="3"/>
  <c r="H797" i="3"/>
  <c r="I797" i="3"/>
  <c r="H798" i="3"/>
  <c r="I798" i="3"/>
  <c r="H799" i="3"/>
  <c r="I799" i="3"/>
  <c r="H800" i="3"/>
  <c r="I800" i="3"/>
  <c r="H801" i="3"/>
  <c r="I801" i="3"/>
  <c r="H802" i="3"/>
  <c r="I802" i="3"/>
  <c r="H803" i="3"/>
  <c r="I803" i="3"/>
  <c r="H804" i="3"/>
  <c r="I804" i="3"/>
  <c r="H805" i="3"/>
  <c r="I805" i="3"/>
  <c r="H806" i="3"/>
  <c r="I806" i="3"/>
  <c r="H807" i="3"/>
  <c r="I807" i="3"/>
  <c r="H808" i="3"/>
  <c r="I808" i="3"/>
  <c r="H809" i="3"/>
  <c r="I809" i="3"/>
  <c r="H810" i="3"/>
  <c r="I810" i="3"/>
  <c r="H811" i="3"/>
  <c r="I811" i="3"/>
  <c r="H812" i="3"/>
  <c r="I812" i="3"/>
  <c r="H813" i="3"/>
  <c r="I813" i="3"/>
  <c r="H814" i="3"/>
  <c r="I814" i="3"/>
  <c r="H815" i="3"/>
  <c r="I815" i="3"/>
  <c r="H816" i="3"/>
  <c r="I816" i="3"/>
  <c r="H817" i="3"/>
  <c r="I817" i="3"/>
  <c r="H818" i="3"/>
  <c r="I818" i="3"/>
  <c r="H819" i="3"/>
  <c r="I819" i="3"/>
  <c r="H820" i="3"/>
  <c r="I820" i="3"/>
  <c r="H821" i="3"/>
  <c r="I821" i="3"/>
  <c r="H822" i="3"/>
  <c r="I822" i="3"/>
  <c r="H823" i="3"/>
  <c r="I823" i="3"/>
  <c r="H824" i="3"/>
  <c r="I824" i="3"/>
  <c r="H825" i="3"/>
  <c r="I825" i="3"/>
  <c r="H826" i="3"/>
  <c r="I826" i="3"/>
  <c r="H827" i="3"/>
  <c r="I827" i="3"/>
  <c r="H828" i="3"/>
  <c r="I828" i="3"/>
  <c r="H829" i="3"/>
  <c r="I829" i="3"/>
  <c r="H830" i="3"/>
  <c r="I830" i="3"/>
  <c r="H831" i="3"/>
  <c r="I831" i="3"/>
  <c r="H832" i="3"/>
  <c r="I832" i="3"/>
  <c r="H833" i="3"/>
  <c r="I833" i="3"/>
  <c r="H834" i="3"/>
  <c r="I834" i="3"/>
  <c r="H835" i="3"/>
  <c r="I835" i="3"/>
  <c r="H836" i="3"/>
  <c r="I836" i="3"/>
  <c r="H837" i="3"/>
  <c r="I837" i="3"/>
  <c r="H838" i="3"/>
  <c r="I838" i="3"/>
  <c r="H839" i="3"/>
  <c r="I839" i="3"/>
  <c r="H840" i="3"/>
  <c r="I840" i="3"/>
  <c r="H841" i="3"/>
  <c r="I841" i="3"/>
  <c r="H842" i="3"/>
  <c r="I842" i="3"/>
  <c r="H843" i="3"/>
  <c r="I843" i="3"/>
  <c r="H844" i="3"/>
  <c r="I844" i="3"/>
  <c r="H845" i="3"/>
  <c r="I845" i="3"/>
  <c r="H846" i="3"/>
  <c r="I846" i="3"/>
  <c r="H847" i="3"/>
  <c r="I847" i="3"/>
  <c r="H848" i="3"/>
  <c r="I848" i="3"/>
  <c r="H849" i="3"/>
  <c r="I849" i="3"/>
  <c r="H850" i="3"/>
  <c r="I850" i="3"/>
  <c r="H851" i="3"/>
  <c r="I851" i="3"/>
  <c r="H852" i="3"/>
  <c r="I852" i="3"/>
  <c r="H853" i="3"/>
  <c r="I853" i="3"/>
  <c r="H854" i="3"/>
  <c r="I854" i="3"/>
  <c r="H855" i="3"/>
  <c r="I855" i="3"/>
  <c r="H856" i="3"/>
  <c r="I856" i="3"/>
  <c r="H857" i="3"/>
  <c r="I857" i="3"/>
  <c r="H858" i="3"/>
  <c r="I858" i="3"/>
  <c r="H859" i="3"/>
  <c r="I859" i="3"/>
  <c r="H860" i="3"/>
  <c r="I860" i="3"/>
  <c r="H861" i="3"/>
  <c r="I861" i="3"/>
  <c r="H862" i="3"/>
  <c r="I862" i="3"/>
  <c r="H863" i="3"/>
  <c r="I863" i="3"/>
  <c r="H864" i="3"/>
  <c r="I864" i="3"/>
  <c r="H865" i="3"/>
  <c r="I865" i="3"/>
  <c r="H866" i="3"/>
  <c r="I866" i="3"/>
  <c r="H867" i="3"/>
  <c r="I867" i="3"/>
  <c r="H868" i="3"/>
  <c r="I868" i="3"/>
  <c r="H869" i="3"/>
  <c r="I869" i="3"/>
  <c r="H870" i="3"/>
  <c r="I870" i="3"/>
  <c r="H871" i="3"/>
  <c r="I871" i="3"/>
  <c r="H872" i="3"/>
  <c r="I872" i="3"/>
  <c r="H873" i="3"/>
  <c r="I873" i="3"/>
  <c r="H874" i="3"/>
  <c r="I874" i="3"/>
  <c r="H875" i="3"/>
  <c r="I875" i="3"/>
  <c r="H876" i="3"/>
  <c r="I876" i="3"/>
  <c r="H877" i="3"/>
  <c r="I877" i="3"/>
  <c r="H878" i="3"/>
  <c r="I878" i="3"/>
  <c r="H879" i="3"/>
  <c r="I879" i="3"/>
  <c r="H880" i="3"/>
  <c r="I880" i="3"/>
  <c r="H881" i="3"/>
  <c r="I881" i="3"/>
  <c r="H882" i="3"/>
  <c r="I882" i="3"/>
  <c r="H883" i="3"/>
  <c r="I883" i="3"/>
  <c r="H884" i="3"/>
  <c r="I884" i="3"/>
  <c r="H885" i="3"/>
  <c r="I885" i="3"/>
  <c r="H886" i="3"/>
  <c r="I886" i="3"/>
  <c r="H887" i="3"/>
  <c r="I887" i="3"/>
  <c r="H888" i="3"/>
  <c r="I888" i="3"/>
  <c r="H889" i="3"/>
  <c r="I889" i="3"/>
  <c r="H890" i="3"/>
  <c r="I890" i="3"/>
  <c r="H891" i="3"/>
  <c r="I891" i="3"/>
  <c r="H892" i="3"/>
  <c r="I892" i="3"/>
  <c r="H893" i="3"/>
  <c r="I893" i="3"/>
  <c r="H894" i="3"/>
  <c r="I894" i="3"/>
  <c r="H895" i="3"/>
  <c r="I895" i="3"/>
  <c r="H896" i="3"/>
  <c r="I896" i="3"/>
  <c r="H897" i="3"/>
  <c r="I897" i="3"/>
  <c r="H898" i="3"/>
  <c r="I898" i="3"/>
  <c r="H899" i="3"/>
  <c r="I899" i="3"/>
  <c r="H900" i="3"/>
  <c r="I900" i="3"/>
  <c r="H901" i="3"/>
  <c r="I901" i="3"/>
  <c r="H902" i="3"/>
  <c r="I902" i="3"/>
  <c r="H903" i="3"/>
  <c r="I903" i="3"/>
  <c r="H904" i="3"/>
  <c r="I904" i="3"/>
  <c r="H905" i="3"/>
  <c r="I905" i="3"/>
  <c r="H906" i="3"/>
  <c r="I906" i="3"/>
  <c r="H907" i="3"/>
  <c r="I907" i="3"/>
  <c r="H908" i="3"/>
  <c r="I908" i="3"/>
  <c r="H909" i="3"/>
  <c r="I909" i="3"/>
  <c r="H910" i="3"/>
  <c r="I910" i="3"/>
  <c r="H911" i="3"/>
  <c r="I911" i="3"/>
  <c r="H912" i="3"/>
  <c r="I912" i="3"/>
  <c r="H913" i="3"/>
  <c r="I913" i="3"/>
  <c r="H914" i="3"/>
  <c r="I914" i="3"/>
  <c r="H915" i="3"/>
  <c r="I915" i="3"/>
  <c r="H916" i="3"/>
  <c r="I916" i="3"/>
  <c r="H917" i="3"/>
  <c r="I917" i="3"/>
  <c r="H918" i="3"/>
  <c r="I918" i="3"/>
  <c r="H919" i="3"/>
  <c r="I919" i="3"/>
  <c r="H920" i="3"/>
  <c r="I920" i="3"/>
  <c r="H921" i="3"/>
  <c r="I921" i="3"/>
  <c r="H922" i="3"/>
  <c r="I922" i="3"/>
  <c r="H923" i="3"/>
  <c r="I923" i="3"/>
  <c r="H924" i="3"/>
  <c r="I924" i="3"/>
  <c r="H925" i="3"/>
  <c r="I925" i="3"/>
  <c r="H926" i="3"/>
  <c r="I926" i="3"/>
  <c r="H927" i="3"/>
  <c r="I927" i="3"/>
  <c r="H928" i="3"/>
  <c r="I928" i="3"/>
  <c r="H929" i="3"/>
  <c r="I929" i="3"/>
  <c r="H930" i="3"/>
  <c r="I930" i="3"/>
  <c r="H931" i="3"/>
  <c r="I931" i="3"/>
  <c r="H932" i="3"/>
  <c r="I932" i="3"/>
  <c r="H933" i="3"/>
  <c r="I933" i="3"/>
  <c r="H934" i="3"/>
  <c r="I934" i="3"/>
  <c r="H935" i="3"/>
  <c r="I935" i="3"/>
  <c r="H936" i="3"/>
  <c r="I936" i="3"/>
  <c r="H937" i="3"/>
  <c r="I937" i="3"/>
  <c r="H938" i="3"/>
  <c r="I938" i="3"/>
  <c r="H939" i="3"/>
  <c r="I939" i="3"/>
  <c r="H940" i="3"/>
  <c r="I940" i="3"/>
  <c r="H941" i="3"/>
  <c r="I941" i="3"/>
  <c r="H942" i="3"/>
  <c r="I942" i="3"/>
  <c r="H943" i="3"/>
  <c r="I943" i="3"/>
  <c r="H944" i="3"/>
  <c r="I944" i="3"/>
  <c r="H945" i="3"/>
  <c r="I945" i="3"/>
  <c r="H946" i="3"/>
  <c r="I946" i="3"/>
  <c r="H947" i="3"/>
  <c r="I947" i="3"/>
  <c r="H948" i="3"/>
  <c r="I948" i="3"/>
  <c r="H949" i="3"/>
  <c r="I949" i="3"/>
  <c r="H950" i="3"/>
  <c r="I950" i="3"/>
  <c r="H951" i="3"/>
  <c r="I951" i="3"/>
  <c r="H952" i="3"/>
  <c r="I952" i="3"/>
  <c r="H953" i="3"/>
  <c r="I953" i="3"/>
  <c r="H954" i="3"/>
  <c r="I954" i="3"/>
  <c r="H955" i="3"/>
  <c r="I955" i="3"/>
  <c r="H956" i="3"/>
  <c r="I956" i="3"/>
  <c r="H957" i="3"/>
  <c r="I957" i="3"/>
  <c r="H958" i="3"/>
  <c r="I958" i="3"/>
  <c r="H959" i="3"/>
  <c r="I959" i="3"/>
  <c r="H960" i="3"/>
  <c r="I960" i="3"/>
  <c r="H961" i="3"/>
  <c r="I961" i="3"/>
  <c r="H962" i="3"/>
  <c r="I962" i="3"/>
  <c r="H963" i="3"/>
  <c r="I963" i="3"/>
  <c r="H964" i="3"/>
  <c r="I964" i="3"/>
  <c r="H965" i="3"/>
  <c r="I965" i="3"/>
  <c r="H966" i="3"/>
  <c r="I966" i="3"/>
  <c r="H967" i="3"/>
  <c r="I967" i="3"/>
  <c r="H968" i="3"/>
  <c r="I968" i="3"/>
  <c r="H969" i="3"/>
  <c r="I969" i="3"/>
  <c r="H970" i="3"/>
  <c r="I970" i="3"/>
  <c r="H971" i="3"/>
  <c r="I971" i="3"/>
  <c r="H972" i="3"/>
  <c r="I972" i="3"/>
  <c r="H973" i="3"/>
  <c r="I973" i="3"/>
  <c r="H974" i="3"/>
  <c r="I974" i="3"/>
  <c r="H975" i="3"/>
  <c r="I975" i="3"/>
  <c r="H976" i="3"/>
  <c r="I976" i="3"/>
  <c r="H977" i="3"/>
  <c r="I977" i="3"/>
  <c r="H978" i="3"/>
  <c r="I978" i="3"/>
  <c r="H979" i="3"/>
  <c r="I979" i="3"/>
  <c r="H980" i="3"/>
  <c r="I980" i="3"/>
  <c r="H981" i="3"/>
  <c r="I981" i="3"/>
  <c r="H982" i="3"/>
  <c r="I982" i="3"/>
  <c r="H983" i="3"/>
  <c r="I983" i="3"/>
  <c r="H984" i="3"/>
  <c r="I984" i="3"/>
  <c r="H985" i="3"/>
  <c r="I985" i="3"/>
  <c r="H986" i="3"/>
  <c r="I986" i="3"/>
  <c r="H987" i="3"/>
  <c r="I987" i="3"/>
  <c r="H988" i="3"/>
  <c r="I988" i="3"/>
  <c r="H989" i="3"/>
  <c r="I989" i="3"/>
  <c r="H990" i="3"/>
  <c r="I990" i="3"/>
  <c r="H991" i="3"/>
  <c r="I991" i="3"/>
  <c r="H992" i="3"/>
  <c r="I992" i="3"/>
  <c r="H993" i="3"/>
  <c r="I993" i="3"/>
  <c r="H994" i="3"/>
  <c r="I994" i="3"/>
  <c r="H995" i="3"/>
  <c r="I995" i="3"/>
  <c r="H996" i="3"/>
  <c r="I996" i="3"/>
  <c r="H997" i="3"/>
  <c r="I997" i="3"/>
  <c r="H998" i="3"/>
  <c r="I998" i="3"/>
  <c r="H999" i="3"/>
  <c r="I999" i="3"/>
  <c r="I1" i="3"/>
  <c r="H1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" i="3"/>
  <c r="G11" i="3"/>
  <c r="G12" i="3"/>
  <c r="G13" i="3"/>
  <c r="G14" i="3"/>
  <c r="G2" i="3"/>
  <c r="G3" i="3"/>
  <c r="G4" i="3"/>
  <c r="G5" i="3"/>
  <c r="G6" i="3"/>
  <c r="G7" i="3"/>
  <c r="G8" i="3"/>
  <c r="G9" i="3"/>
  <c r="G1" i="3"/>
  <c r="E112" i="1" l="1"/>
  <c r="W96" i="1"/>
  <c r="P96" i="1"/>
  <c r="J96" i="1"/>
  <c r="E106" i="1"/>
  <c r="C72" i="1"/>
  <c r="D47" i="1"/>
  <c r="D52" i="1" s="1"/>
  <c r="C113" i="1" s="1"/>
  <c r="N29" i="1"/>
  <c r="J17" i="1"/>
  <c r="B27" i="2"/>
  <c r="B15" i="2"/>
  <c r="U96" i="1"/>
  <c r="V96" i="1"/>
  <c r="T96" i="1"/>
  <c r="S96" i="1"/>
  <c r="R96" i="1"/>
  <c r="Q96" i="1"/>
  <c r="P97" i="1"/>
  <c r="O97" i="1"/>
  <c r="O96" i="1"/>
  <c r="Q97" i="1"/>
  <c r="R97" i="1" s="1"/>
  <c r="N97" i="1"/>
  <c r="C112" i="1"/>
  <c r="L96" i="1"/>
  <c r="M96" i="1" s="1"/>
  <c r="K96" i="1"/>
  <c r="F97" i="1"/>
  <c r="G97" i="1" s="1"/>
  <c r="E97" i="1"/>
  <c r="I97" i="1" s="1"/>
  <c r="E96" i="1"/>
  <c r="I96" i="1" s="1"/>
  <c r="D97" i="1"/>
  <c r="D96" i="1"/>
  <c r="C97" i="1"/>
  <c r="C98" i="1" s="1"/>
  <c r="C99" i="1" s="1"/>
  <c r="C100" i="1" s="1"/>
  <c r="C101" i="1" s="1"/>
  <c r="C102" i="1" s="1"/>
  <c r="C103" i="1" s="1"/>
  <c r="C104" i="1" s="1"/>
  <c r="D104" i="1" s="1"/>
  <c r="E104" i="1" s="1"/>
  <c r="C95" i="1"/>
  <c r="D87" i="1"/>
  <c r="D84" i="1"/>
  <c r="C73" i="1"/>
  <c r="C70" i="1"/>
  <c r="C71" i="1" s="1"/>
  <c r="G22" i="1"/>
  <c r="D26" i="1"/>
  <c r="C28" i="1"/>
  <c r="D28" i="1" s="1"/>
  <c r="E17" i="1"/>
  <c r="D15" i="1"/>
  <c r="J97" i="1" l="1"/>
  <c r="K97" i="1" s="1"/>
  <c r="L97" i="1" s="1"/>
  <c r="M97" i="1" s="1"/>
  <c r="S97" i="1"/>
  <c r="V97" i="1" s="1"/>
  <c r="B115" i="1"/>
  <c r="X95" i="1" s="1"/>
  <c r="B114" i="1"/>
  <c r="Y95" i="1" s="1"/>
  <c r="N101" i="1"/>
  <c r="N98" i="1"/>
  <c r="N104" i="1"/>
  <c r="N100" i="1"/>
  <c r="N102" i="1"/>
  <c r="N103" i="1"/>
  <c r="N99" i="1"/>
  <c r="C105" i="1"/>
  <c r="D101" i="1"/>
  <c r="E101" i="1" s="1"/>
  <c r="F101" i="1" s="1"/>
  <c r="G101" i="1" s="1"/>
  <c r="D100" i="1"/>
  <c r="E100" i="1" s="1"/>
  <c r="J100" i="1" s="1"/>
  <c r="J104" i="1"/>
  <c r="F104" i="1"/>
  <c r="G104" i="1" s="1"/>
  <c r="H104" i="1" s="1"/>
  <c r="I104" i="1"/>
  <c r="D99" i="1"/>
  <c r="E99" i="1" s="1"/>
  <c r="D102" i="1"/>
  <c r="E102" i="1" s="1"/>
  <c r="D98" i="1"/>
  <c r="E98" i="1" s="1"/>
  <c r="D103" i="1"/>
  <c r="E103" i="1" s="1"/>
  <c r="H97" i="1"/>
  <c r="F96" i="1"/>
  <c r="G96" i="1"/>
  <c r="H96" i="1" s="1"/>
  <c r="F32" i="1"/>
  <c r="E19" i="1"/>
  <c r="F17" i="1"/>
  <c r="G17" i="1" s="1"/>
  <c r="O98" i="1" l="1"/>
  <c r="Y96" i="1"/>
  <c r="X96" i="1"/>
  <c r="AA96" i="1" s="1"/>
  <c r="AA95" i="1"/>
  <c r="T97" i="1"/>
  <c r="U97" i="1" s="1"/>
  <c r="W97" i="1" s="1"/>
  <c r="X97" i="1" s="1"/>
  <c r="I100" i="1"/>
  <c r="C106" i="1"/>
  <c r="N105" i="1"/>
  <c r="D105" i="1"/>
  <c r="E105" i="1" s="1"/>
  <c r="I105" i="1" s="1"/>
  <c r="I101" i="1"/>
  <c r="J101" i="1"/>
  <c r="K101" i="1" s="1"/>
  <c r="L101" i="1" s="1"/>
  <c r="M101" i="1" s="1"/>
  <c r="F100" i="1"/>
  <c r="G100" i="1" s="1"/>
  <c r="J102" i="1"/>
  <c r="F102" i="1"/>
  <c r="I102" i="1"/>
  <c r="I99" i="1"/>
  <c r="F99" i="1"/>
  <c r="J99" i="1"/>
  <c r="K100" i="1"/>
  <c r="L100" i="1" s="1"/>
  <c r="M100" i="1" s="1"/>
  <c r="I103" i="1"/>
  <c r="F103" i="1"/>
  <c r="J103" i="1"/>
  <c r="H101" i="1"/>
  <c r="J98" i="1"/>
  <c r="F98" i="1"/>
  <c r="I98" i="1"/>
  <c r="K104" i="1"/>
  <c r="L104" i="1" s="1"/>
  <c r="M104" i="1" s="1"/>
  <c r="D41" i="1"/>
  <c r="D38" i="1"/>
  <c r="H17" i="1"/>
  <c r="Y97" i="1" l="1"/>
  <c r="AA97" i="1" s="1"/>
  <c r="O99" i="1"/>
  <c r="P98" i="1"/>
  <c r="Q98" i="1" s="1"/>
  <c r="R98" i="1" s="1"/>
  <c r="J105" i="1"/>
  <c r="K105" i="1" s="1"/>
  <c r="L105" i="1" s="1"/>
  <c r="M105" i="1" s="1"/>
  <c r="F105" i="1"/>
  <c r="G105" i="1" s="1"/>
  <c r="H105" i="1" s="1"/>
  <c r="N106" i="1"/>
  <c r="D106" i="1"/>
  <c r="H100" i="1"/>
  <c r="K103" i="1"/>
  <c r="L103" i="1"/>
  <c r="M103" i="1" s="1"/>
  <c r="G98" i="1"/>
  <c r="H98" i="1" s="1"/>
  <c r="G103" i="1"/>
  <c r="H103" i="1" s="1"/>
  <c r="K98" i="1"/>
  <c r="L98" i="1" s="1"/>
  <c r="M98" i="1" s="1"/>
  <c r="K99" i="1"/>
  <c r="L99" i="1" s="1"/>
  <c r="M99" i="1" s="1"/>
  <c r="G102" i="1"/>
  <c r="H102" i="1" s="1"/>
  <c r="G99" i="1"/>
  <c r="H99" i="1" s="1"/>
  <c r="K102" i="1"/>
  <c r="L102" i="1" s="1"/>
  <c r="M102" i="1" s="1"/>
  <c r="D60" i="1"/>
  <c r="D49" i="1"/>
  <c r="D56" i="1"/>
  <c r="D63" i="1"/>
  <c r="S98" i="1" l="1"/>
  <c r="V98" i="1" s="1"/>
  <c r="O100" i="1"/>
  <c r="P99" i="1"/>
  <c r="Q99" i="1" s="1"/>
  <c r="R99" i="1" s="1"/>
  <c r="I106" i="1"/>
  <c r="J106" i="1"/>
  <c r="F106" i="1"/>
  <c r="G106" i="1" s="1"/>
  <c r="H106" i="1" s="1"/>
  <c r="T98" i="1" l="1"/>
  <c r="U98" i="1" s="1"/>
  <c r="W98" i="1" s="1"/>
  <c r="Y98" i="1" s="1"/>
  <c r="S99" i="1"/>
  <c r="V99" i="1" s="1"/>
  <c r="O101" i="1"/>
  <c r="P100" i="1"/>
  <c r="Q100" i="1" s="1"/>
  <c r="R100" i="1" s="1"/>
  <c r="X98" i="1"/>
  <c r="AA98" i="1" s="1"/>
  <c r="K106" i="1"/>
  <c r="L106" i="1" s="1"/>
  <c r="M106" i="1" s="1"/>
  <c r="T99" i="1" l="1"/>
  <c r="U99" i="1" s="1"/>
  <c r="W99" i="1" s="1"/>
  <c r="Y99" i="1" s="1"/>
  <c r="S100" i="1"/>
  <c r="T100" i="1" s="1"/>
  <c r="U100" i="1" s="1"/>
  <c r="W100" i="1" s="1"/>
  <c r="O102" i="1"/>
  <c r="R101" i="1"/>
  <c r="V101" i="1" s="1"/>
  <c r="P101" i="1"/>
  <c r="Q101" i="1" s="1"/>
  <c r="S101" i="1"/>
  <c r="X99" i="1"/>
  <c r="AA99" i="1" s="1"/>
  <c r="O103" i="1" l="1"/>
  <c r="P102" i="1"/>
  <c r="Q102" i="1" s="1"/>
  <c r="S102" i="1" s="1"/>
  <c r="T101" i="1"/>
  <c r="U101" i="1" s="1"/>
  <c r="W101" i="1" s="1"/>
  <c r="X101" i="1" s="1"/>
  <c r="V100" i="1"/>
  <c r="X100" i="1" l="1"/>
  <c r="Y100" i="1"/>
  <c r="R102" i="1"/>
  <c r="V102" i="1" s="1"/>
  <c r="Y101" i="1"/>
  <c r="AA101" i="1" s="1"/>
  <c r="O104" i="1"/>
  <c r="S103" i="1"/>
  <c r="P103" i="1"/>
  <c r="Q103" i="1" s="1"/>
  <c r="R103" i="1" s="1"/>
  <c r="V103" i="1" l="1"/>
  <c r="T102" i="1"/>
  <c r="U102" i="1" s="1"/>
  <c r="W102" i="1" s="1"/>
  <c r="T103" i="1"/>
  <c r="U103" i="1" s="1"/>
  <c r="W103" i="1" s="1"/>
  <c r="Y103" i="1" s="1"/>
  <c r="O105" i="1"/>
  <c r="P104" i="1"/>
  <c r="Q104" i="1" s="1"/>
  <c r="S104" i="1" s="1"/>
  <c r="AA100" i="1"/>
  <c r="X102" i="1"/>
  <c r="Y102" i="1"/>
  <c r="X103" i="1" l="1"/>
  <c r="AA103" i="1" s="1"/>
  <c r="O106" i="1"/>
  <c r="P105" i="1"/>
  <c r="Q105" i="1" s="1"/>
  <c r="S105" i="1" s="1"/>
  <c r="R104" i="1"/>
  <c r="V104" i="1" s="1"/>
  <c r="AA102" i="1"/>
  <c r="R105" i="1" l="1"/>
  <c r="V105" i="1" s="1"/>
  <c r="P106" i="1"/>
  <c r="Q106" i="1" s="1"/>
  <c r="R106" i="1" s="1"/>
  <c r="T105" i="1"/>
  <c r="U105" i="1" s="1"/>
  <c r="W105" i="1" s="1"/>
  <c r="X105" i="1" s="1"/>
  <c r="T104" i="1"/>
  <c r="U104" i="1" s="1"/>
  <c r="W104" i="1" s="1"/>
  <c r="X104" i="1" s="1"/>
  <c r="Y104" i="1" l="1"/>
  <c r="AA104" i="1" s="1"/>
  <c r="S106" i="1"/>
  <c r="V106" i="1" s="1"/>
  <c r="Y105" i="1"/>
  <c r="AA105" i="1" s="1"/>
  <c r="T106" i="1" l="1"/>
  <c r="U106" i="1" s="1"/>
  <c r="W106" i="1"/>
  <c r="U109" i="1"/>
  <c r="V109" i="1" l="1"/>
  <c r="W109" i="1"/>
  <c r="X109" i="1" s="1"/>
  <c r="X106" i="1"/>
  <c r="Y106" i="1"/>
  <c r="AA106" i="1" l="1"/>
</calcChain>
</file>

<file path=xl/sharedStrings.xml><?xml version="1.0" encoding="utf-8"?>
<sst xmlns="http://schemas.openxmlformats.org/spreadsheetml/2006/main" count="101" uniqueCount="81">
  <si>
    <t>AZIMUT DE ENTRADA:   42°</t>
  </si>
  <si>
    <t>AZIMUT DE SALIDA:  144 °</t>
  </si>
  <si>
    <t>COORDENADAS DEL PI : 500 N  500 E</t>
  </si>
  <si>
    <t>ABSCISA DEL EC :  K4 + 345</t>
  </si>
  <si>
    <t>CALCULAR:</t>
  </si>
  <si>
    <r>
      <t>1.</t>
    </r>
    <r>
      <rPr>
        <b/>
        <sz val="11"/>
        <color rgb="FF000000"/>
        <rFont val="Arial"/>
        <family val="2"/>
      </rPr>
      <t>Todos los Elementos de la curva.</t>
    </r>
  </si>
  <si>
    <r>
      <t>2.</t>
    </r>
    <r>
      <rPr>
        <b/>
        <sz val="11"/>
        <color rgb="FF000000"/>
        <rFont val="Arial"/>
        <family val="2"/>
      </rPr>
      <t>Abscisas de  los puntos de interés.</t>
    </r>
  </si>
  <si>
    <r>
      <t>3.</t>
    </r>
    <r>
      <rPr>
        <b/>
        <sz val="11"/>
        <color rgb="FF000000"/>
        <rFont val="Arial"/>
        <family val="2"/>
      </rPr>
      <t>Coordenadas de todos los puntos de la curva espiralizada.</t>
    </r>
  </si>
  <si>
    <r>
      <t>4.</t>
    </r>
    <r>
      <rPr>
        <b/>
        <sz val="11"/>
        <color rgb="FF000000"/>
        <rFont val="Arial"/>
        <family val="2"/>
      </rPr>
      <t>A partir de las coordenadas realizar la grafica de la curva espiralizada.</t>
    </r>
  </si>
  <si>
    <t>K =  94,868 m</t>
  </si>
  <si>
    <r>
      <t>∆</t>
    </r>
    <r>
      <rPr>
        <b/>
        <sz val="11"/>
        <color rgb="FF000000"/>
        <rFont val="Arial"/>
        <family val="2"/>
      </rPr>
      <t xml:space="preserve">  = 144 - 42  = 102º D   </t>
    </r>
  </si>
  <si>
    <t xml:space="preserve">   </t>
  </si>
  <si>
    <t>∆ c = 38º  20” 16,88”</t>
  </si>
  <si>
    <t>K =</t>
  </si>
  <si>
    <t xml:space="preserve">a : </t>
  </si>
  <si>
    <t>m</t>
  </si>
  <si>
    <t xml:space="preserve"> Ve : </t>
  </si>
  <si>
    <t>Km/h</t>
  </si>
  <si>
    <t xml:space="preserve">e :                                            </t>
  </si>
  <si>
    <t xml:space="preserve">Longitud de la espiral : </t>
  </si>
  <si>
    <t xml:space="preserve">m  </t>
  </si>
  <si>
    <t xml:space="preserve">RADIO:          </t>
  </si>
  <si>
    <t xml:space="preserve">m     </t>
  </si>
  <si>
    <t xml:space="preserve">Cuerda unidad : </t>
  </si>
  <si>
    <t>radianes</t>
  </si>
  <si>
    <t xml:space="preserve">                                 </t>
  </si>
  <si>
    <t xml:space="preserve"> =  102 -  2x(31º  49” 51,56” )</t>
  </si>
  <si>
    <t xml:space="preserve">                                       </t>
  </si>
  <si>
    <t xml:space="preserve">   = 6°  22” 10,12”</t>
  </si>
  <si>
    <t xml:space="preserve">Lc min =  27,778m   </t>
  </si>
  <si>
    <t>Coordenadas cartesianas del EC</t>
  </si>
  <si>
    <t>Coordenadas cartesianas del PC desplazado</t>
  </si>
  <si>
    <t xml:space="preserve">                                                  </t>
  </si>
  <si>
    <t>Abscisas de los puntos interés</t>
  </si>
  <si>
    <t>EC :  K4 + 345</t>
  </si>
  <si>
    <t>TE:  K4 + 245</t>
  </si>
  <si>
    <t>C E:  K4 + 405,190</t>
  </si>
  <si>
    <t>ET :  K4 + 505,190</t>
  </si>
  <si>
    <t>Lc =</t>
  </si>
  <si>
    <t>Coordenadas cartesianas del  centro de  la curva circular con transiciones.</t>
  </si>
  <si>
    <t xml:space="preserve">                                = 49,490 m</t>
  </si>
  <si>
    <t xml:space="preserve">Deflexión en EC  </t>
  </si>
  <si>
    <t>ᵩc  =  10º  34” 56,632””</t>
  </si>
  <si>
    <t>TE</t>
  </si>
  <si>
    <t>Norte</t>
  </si>
  <si>
    <t>Este</t>
  </si>
  <si>
    <t>Azimiutes</t>
  </si>
  <si>
    <t>Az entrada TE - PI</t>
  </si>
  <si>
    <t>ContrAz TE PI =</t>
  </si>
  <si>
    <t xml:space="preserve">Te = </t>
  </si>
  <si>
    <t>Norte TE =</t>
  </si>
  <si>
    <t>Este TE =</t>
  </si>
  <si>
    <t>Norte PI =</t>
  </si>
  <si>
    <t>Este PI =</t>
  </si>
  <si>
    <t>Cuerda</t>
  </si>
  <si>
    <t>Az</t>
  </si>
  <si>
    <t>fi grados</t>
  </si>
  <si>
    <t>Datos:</t>
  </si>
  <si>
    <t>VCH = 70 Km /h</t>
  </si>
  <si>
    <t>Rc = 120m</t>
  </si>
  <si>
    <t>e = 8 %</t>
  </si>
  <si>
    <t>a= 3.65 m</t>
  </si>
  <si>
    <t>De acuerdo a la variacion de la aceleracio centrifuga</t>
  </si>
  <si>
    <t>GRA</t>
  </si>
  <si>
    <t>MIN</t>
  </si>
  <si>
    <t>SEG</t>
  </si>
  <si>
    <t>E</t>
  </si>
  <si>
    <t>C</t>
  </si>
  <si>
    <t>KM/H</t>
  </si>
  <si>
    <t>EC</t>
  </si>
  <si>
    <t>100 m</t>
  </si>
  <si>
    <t>θp</t>
  </si>
  <si>
    <t>Este es el teta e</t>
  </si>
  <si>
    <t>θp en radianes</t>
  </si>
  <si>
    <t>Xp</t>
  </si>
  <si>
    <t>Yp</t>
  </si>
  <si>
    <t>Deflexiones</t>
  </si>
  <si>
    <t>Long</t>
  </si>
  <si>
    <t>θp sexagesimal</t>
  </si>
  <si>
    <t>θp radianes</t>
  </si>
  <si>
    <t>Se toma como parámetro una distancia de  2 segundos  a la velocidad especifica para conocer la longitud mínima de la curva circular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</si>
</sst>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\k#\+000.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hadow/>
      <sz val="11"/>
      <color rgb="FF000000"/>
      <name val="Arial"/>
      <family val="2"/>
    </font>
    <font>
      <sz val="11"/>
      <color theme="1"/>
      <name val="Cambria Math"/>
      <family val="1"/>
    </font>
    <font>
      <sz val="11"/>
      <name val="Cambria Math"/>
      <family val="1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b/>
      <sz val="22"/>
      <name val="Cambria Math"/>
      <family val="1"/>
    </font>
    <font>
      <b/>
      <sz val="20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8"/>
      <color rgb="FF000000"/>
      <name val="Arial"/>
      <family val="2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0" fillId="0" borderId="0" xfId="0" applyAlignment="1">
      <alignment horizontal="left" vertical="center" indent="5" readingOrder="1"/>
    </xf>
    <xf numFmtId="0" fontId="4" fillId="0" borderId="0" xfId="0" applyFont="1" applyAlignment="1">
      <alignment horizontal="left" vertical="center" readingOrder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0" fontId="0" fillId="0" borderId="0" xfId="0" applyNumberFormat="1"/>
    <xf numFmtId="166" fontId="0" fillId="0" borderId="0" xfId="0" applyNumberFormat="1" applyAlignment="1">
      <alignment horizontal="right"/>
    </xf>
    <xf numFmtId="0" fontId="5" fillId="0" borderId="0" xfId="0" applyFont="1" applyAlignment="1">
      <alignment readingOrder="1"/>
    </xf>
    <xf numFmtId="0" fontId="2" fillId="0" borderId="0" xfId="0" applyFon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3" fontId="2" fillId="0" borderId="0" xfId="0" applyNumberFormat="1" applyFont="1" applyAlignment="1">
      <alignment horizontal="left" vertical="center" readingOrder="1"/>
    </xf>
    <xf numFmtId="167" fontId="6" fillId="0" borderId="0" xfId="0" applyNumberFormat="1" applyFont="1"/>
    <xf numFmtId="2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readingOrder="1"/>
    </xf>
    <xf numFmtId="0" fontId="8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readingOrder="1"/>
    </xf>
    <xf numFmtId="0" fontId="15" fillId="0" borderId="0" xfId="0" applyFont="1" applyAlignment="1">
      <alignment horizontal="left" vertical="center" readingOrder="1"/>
    </xf>
    <xf numFmtId="0" fontId="16" fillId="0" borderId="0" xfId="0" applyFont="1" applyAlignment="1">
      <alignment horizontal="center" vertical="center" readingOrder="1"/>
    </xf>
    <xf numFmtId="0" fontId="17" fillId="0" borderId="0" xfId="0" applyFont="1"/>
    <xf numFmtId="0" fontId="18" fillId="0" borderId="0" xfId="0" applyFont="1"/>
    <xf numFmtId="0" fontId="11" fillId="0" borderId="1" xfId="0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center" readingOrder="1"/>
    </xf>
    <xf numFmtId="167" fontId="9" fillId="0" borderId="0" xfId="0" applyNumberFormat="1" applyFont="1"/>
    <xf numFmtId="0" fontId="2" fillId="2" borderId="0" xfId="0" applyFont="1" applyFill="1" applyAlignment="1">
      <alignment horizontal="left" vertical="center" readingOrder="1"/>
    </xf>
    <xf numFmtId="0" fontId="0" fillId="2" borderId="0" xfId="0" applyFill="1"/>
    <xf numFmtId="0" fontId="1" fillId="2" borderId="0" xfId="0" applyFont="1" applyFill="1"/>
    <xf numFmtId="0" fontId="21" fillId="0" borderId="0" xfId="0" applyFont="1" applyAlignment="1">
      <alignment horizontal="center" vertical="center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164" fontId="12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 readingOrder="1"/>
    </xf>
    <xf numFmtId="2" fontId="13" fillId="0" borderId="0" xfId="0" applyNumberFormat="1" applyFont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 readingOrder="1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2" fontId="6" fillId="3" borderId="0" xfId="0" applyNumberFormat="1" applyFont="1" applyFill="1" applyAlignment="1">
      <alignment horizontal="center" vertical="center"/>
    </xf>
    <xf numFmtId="166" fontId="23" fillId="0" borderId="0" xfId="0" applyNumberFormat="1" applyFont="1"/>
    <xf numFmtId="0" fontId="0" fillId="3" borderId="0" xfId="0" applyFill="1"/>
    <xf numFmtId="166" fontId="0" fillId="3" borderId="0" xfId="0" applyNumberFormat="1" applyFill="1"/>
    <xf numFmtId="166" fontId="11" fillId="3" borderId="0" xfId="0" applyNumberFormat="1" applyFont="1" applyFill="1"/>
    <xf numFmtId="0" fontId="23" fillId="3" borderId="0" xfId="0" applyFont="1" applyFill="1"/>
    <xf numFmtId="0" fontId="20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Hoja1!$X$95:$X$106</c:f>
              <c:numCache>
                <c:formatCode>0.000</c:formatCode>
                <c:ptCount val="12"/>
                <c:pt idx="0">
                  <c:v>388.73345972401484</c:v>
                </c:pt>
                <c:pt idx="1">
                  <c:v>392.08083235284312</c:v>
                </c:pt>
                <c:pt idx="2">
                  <c:v>398.81670802626451</c:v>
                </c:pt>
                <c:pt idx="3">
                  <c:v>405.67471999564896</c:v>
                </c:pt>
                <c:pt idx="4">
                  <c:v>412.73203441725218</c:v>
                </c:pt>
                <c:pt idx="5">
                  <c:v>420.05917391371764</c:v>
                </c:pt>
                <c:pt idx="6">
                  <c:v>427.71686784218974</c:v>
                </c:pt>
                <c:pt idx="7">
                  <c:v>435.75246036583104</c:v>
                </c:pt>
                <c:pt idx="8">
                  <c:v>444.19582644580782</c:v>
                </c:pt>
                <c:pt idx="9">
                  <c:v>453.05481091881637</c:v>
                </c:pt>
                <c:pt idx="10">
                  <c:v>462.31029218486594</c:v>
                </c:pt>
                <c:pt idx="11">
                  <c:v>467.07211295988816</c:v>
                </c:pt>
              </c:numCache>
            </c:numRef>
          </c:xVal>
          <c:yVal>
            <c:numRef>
              <c:f>Hoja1!$Y$95:$Y$106</c:f>
              <c:numCache>
                <c:formatCode>0.000</c:formatCode>
                <c:ptCount val="12"/>
                <c:pt idx="0">
                  <c:v>376.42598788774444</c:v>
                </c:pt>
                <c:pt idx="1">
                  <c:v>380.14016238513648</c:v>
                </c:pt>
                <c:pt idx="2">
                  <c:v>387.53116590044556</c:v>
                </c:pt>
                <c:pt idx="3">
                  <c:v>394.80877124309188</c:v>
                </c:pt>
                <c:pt idx="4">
                  <c:v>401.89291107045028</c:v>
                </c:pt>
                <c:pt idx="5">
                  <c:v>408.69706787600779</c:v>
                </c:pt>
                <c:pt idx="6">
                  <c:v>415.12621937811974</c:v>
                </c:pt>
                <c:pt idx="7">
                  <c:v>421.07535411257442</c:v>
                </c:pt>
                <c:pt idx="8">
                  <c:v>426.42877830361232</c:v>
                </c:pt>
                <c:pt idx="9">
                  <c:v>431.06046798386529</c:v>
                </c:pt>
                <c:pt idx="10">
                  <c:v>434.83574746966445</c:v>
                </c:pt>
                <c:pt idx="11">
                  <c:v>436.3585553426708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81-4807-8D67-3BB6439E4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534024"/>
        <c:axId val="488527464"/>
      </c:scatterChart>
      <c:valAx>
        <c:axId val="488534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8527464"/>
        <c:crosses val="autoZero"/>
        <c:crossBetween val="midCat"/>
      </c:valAx>
      <c:valAx>
        <c:axId val="488527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8534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Hoja1!$X$95:$X$106</c:f>
              <c:numCache>
                <c:formatCode>0.000</c:formatCode>
                <c:ptCount val="12"/>
                <c:pt idx="0">
                  <c:v>388.73345972401484</c:v>
                </c:pt>
                <c:pt idx="1">
                  <c:v>392.08083235284312</c:v>
                </c:pt>
                <c:pt idx="2">
                  <c:v>398.81670802626451</c:v>
                </c:pt>
                <c:pt idx="3">
                  <c:v>405.67471999564896</c:v>
                </c:pt>
                <c:pt idx="4">
                  <c:v>412.73203441725218</c:v>
                </c:pt>
                <c:pt idx="5">
                  <c:v>420.05917391371764</c:v>
                </c:pt>
                <c:pt idx="6">
                  <c:v>427.71686784218974</c:v>
                </c:pt>
                <c:pt idx="7">
                  <c:v>435.75246036583104</c:v>
                </c:pt>
                <c:pt idx="8">
                  <c:v>444.19582644580782</c:v>
                </c:pt>
                <c:pt idx="9">
                  <c:v>453.05481091881637</c:v>
                </c:pt>
                <c:pt idx="10">
                  <c:v>462.31029218486594</c:v>
                </c:pt>
                <c:pt idx="11">
                  <c:v>467.07211295988816</c:v>
                </c:pt>
              </c:numCache>
            </c:numRef>
          </c:xVal>
          <c:yVal>
            <c:numRef>
              <c:f>Hoja1!$Y$95:$Y$106</c:f>
              <c:numCache>
                <c:formatCode>0.000</c:formatCode>
                <c:ptCount val="12"/>
                <c:pt idx="0">
                  <c:v>376.42598788774444</c:v>
                </c:pt>
                <c:pt idx="1">
                  <c:v>380.14016238513648</c:v>
                </c:pt>
                <c:pt idx="2">
                  <c:v>387.53116590044556</c:v>
                </c:pt>
                <c:pt idx="3">
                  <c:v>394.80877124309188</c:v>
                </c:pt>
                <c:pt idx="4">
                  <c:v>401.89291107045028</c:v>
                </c:pt>
                <c:pt idx="5">
                  <c:v>408.69706787600779</c:v>
                </c:pt>
                <c:pt idx="6">
                  <c:v>415.12621937811974</c:v>
                </c:pt>
                <c:pt idx="7">
                  <c:v>421.07535411257442</c:v>
                </c:pt>
                <c:pt idx="8">
                  <c:v>426.42877830361232</c:v>
                </c:pt>
                <c:pt idx="9">
                  <c:v>431.06046798386529</c:v>
                </c:pt>
                <c:pt idx="10">
                  <c:v>434.83574746966445</c:v>
                </c:pt>
                <c:pt idx="11">
                  <c:v>436.3585553426708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B6-4515-8784-7232DAA29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563544"/>
        <c:axId val="488563872"/>
      </c:scatterChart>
      <c:valAx>
        <c:axId val="488563544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8563872"/>
        <c:crosses val="autoZero"/>
        <c:crossBetween val="midCat"/>
      </c:valAx>
      <c:valAx>
        <c:axId val="48856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8563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chart" Target="../charts/chart1.xml"/><Relationship Id="rId3" Type="http://schemas.openxmlformats.org/officeDocument/2006/relationships/image" Target="../media/image3.emf"/><Relationship Id="rId21" Type="http://schemas.openxmlformats.org/officeDocument/2006/relationships/image" Target="../media/image20.png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8.png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14</xdr:row>
      <xdr:rowOff>28575</xdr:rowOff>
    </xdr:from>
    <xdr:to>
      <xdr:col>0</xdr:col>
      <xdr:colOff>1238250</xdr:colOff>
      <xdr:row>14</xdr:row>
      <xdr:rowOff>322865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3691AAC-E554-4C0A-A1B5-876E27304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695575"/>
          <a:ext cx="1219200" cy="294290"/>
        </a:xfrm>
        <a:prstGeom prst="rect">
          <a:avLst/>
        </a:prstGeom>
      </xdr:spPr>
    </xdr:pic>
    <xdr:clientData/>
  </xdr:twoCellAnchor>
  <xdr:twoCellAnchor editAs="oneCell">
    <xdr:from>
      <xdr:col>0</xdr:col>
      <xdr:colOff>328743</xdr:colOff>
      <xdr:row>15</xdr:row>
      <xdr:rowOff>304800</xdr:rowOff>
    </xdr:from>
    <xdr:to>
      <xdr:col>1</xdr:col>
      <xdr:colOff>165164</xdr:colOff>
      <xdr:row>17</xdr:row>
      <xdr:rowOff>190499</xdr:rowOff>
    </xdr:to>
    <xdr:pic>
      <xdr:nvPicPr>
        <xdr:cNvPr id="3" name="3 Imagen">
          <a:extLst>
            <a:ext uri="{FF2B5EF4-FFF2-40B4-BE49-F238E27FC236}">
              <a16:creationId xmlns:a16="http://schemas.microsoft.com/office/drawing/2014/main" id="{FA1AF4FA-B799-45EA-A442-8088D3C38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743" y="4667250"/>
          <a:ext cx="1455671" cy="609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18681</xdr:colOff>
      <xdr:row>17</xdr:row>
      <xdr:rowOff>276224</xdr:rowOff>
    </xdr:from>
    <xdr:to>
      <xdr:col>2</xdr:col>
      <xdr:colOff>714375</xdr:colOff>
      <xdr:row>18</xdr:row>
      <xdr:rowOff>350034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10 CuadroTexto">
              <a:extLst>
                <a:ext uri="{FF2B5EF4-FFF2-40B4-BE49-F238E27FC236}">
                  <a16:creationId xmlns:a16="http://schemas.microsoft.com/office/drawing/2014/main" id="{6E6C4E3F-7B8F-4A80-AE6F-252085093364}"/>
                </a:ext>
              </a:extLst>
            </xdr:cNvPr>
            <xdr:cNvSpPr txBox="1"/>
          </xdr:nvSpPr>
          <xdr:spPr>
            <a:xfrm>
              <a:off x="18681" y="5362574"/>
              <a:ext cx="2219694" cy="43576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ru-RU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14:m>
                <m:oMath xmlns:m="http://schemas.openxmlformats.org/officeDocument/2006/math">
                  <m:sSub>
                    <m:sSubPr>
                      <m:ctrlPr>
                        <a:rPr lang="el-GR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l-GR" sz="1400" b="1" i="1">
                          <a:latin typeface="Cambria Math"/>
                        </a:rPr>
                        <m:t>𝜽</m:t>
                      </m:r>
                    </m:e>
                    <m:sub>
                      <m:r>
                        <a:rPr lang="es-CO" sz="1400" b="1" i="1">
                          <a:latin typeface="Cambria Math"/>
                        </a:rPr>
                        <m:t>𝒆</m:t>
                      </m:r>
                    </m:sub>
                  </m:sSub>
                  <m:r>
                    <a:rPr lang="es-CO" sz="1400" b="1">
                      <a:latin typeface="Cambria Math"/>
                    </a:rPr>
                    <m:t>=</m:t>
                  </m:r>
                  <m:f>
                    <m:fPr>
                      <m:ctrlPr>
                        <a:rPr lang="es-CO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p>
                        <m:sSupPr>
                          <m:ctrlPr>
                            <a:rPr lang="es-CO" sz="140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l-GR" sz="1400" b="1" i="1">
                              <a:latin typeface="Cambria Math"/>
                            </a:rPr>
                            <m:t>𝜽</m:t>
                          </m:r>
                          <m:r>
                            <a:rPr lang="es-CO" sz="1400" b="1" i="1">
                              <a:latin typeface="Cambria Math"/>
                            </a:rPr>
                            <m:t>𝒆</m:t>
                          </m:r>
                        </m:e>
                        <m:sup>
                          <m:r>
                            <a:rPr lang="es-CO" sz="1400" b="1">
                              <a:latin typeface="Cambria Math"/>
                            </a:rPr>
                            <m:t>°</m:t>
                          </m:r>
                        </m:sup>
                      </m:sSup>
                      <m:r>
                        <a:rPr lang="es-CO" sz="1400" b="1">
                          <a:latin typeface="Cambria Math"/>
                        </a:rPr>
                        <m:t>∗</m:t>
                      </m:r>
                      <m:r>
                        <a:rPr lang="el-GR" sz="1400" b="1" i="1">
                          <a:latin typeface="Cambria Math"/>
                        </a:rPr>
                        <m:t>𝝅</m:t>
                      </m:r>
                    </m:num>
                    <m:den>
                      <m:r>
                        <a:rPr lang="es-CO" sz="1400" b="1" i="1">
                          <a:latin typeface="Cambria Math"/>
                        </a:rPr>
                        <m:t>𝟏𝟖𝟎</m:t>
                      </m:r>
                    </m:den>
                  </m:f>
                </m:oMath>
              </a14:m>
              <a:r>
                <a:rPr lang="es-CO" sz="1200"/>
                <a:t>   en radianes</a:t>
              </a:r>
            </a:p>
          </xdr:txBody>
        </xdr:sp>
      </mc:Choice>
      <mc:Fallback xmlns="">
        <xdr:sp macro="" textlink="">
          <xdr:nvSpPr>
            <xdr:cNvPr id="4" name="10 CuadroTexto">
              <a:extLst>
                <a:ext uri="{FF2B5EF4-FFF2-40B4-BE49-F238E27FC236}">
                  <a16:creationId xmlns:a16="http://schemas.microsoft.com/office/drawing/2014/main" id="{6E6C4E3F-7B8F-4A80-AE6F-252085093364}"/>
                </a:ext>
              </a:extLst>
            </xdr:cNvPr>
            <xdr:cNvSpPr txBox="1"/>
          </xdr:nvSpPr>
          <xdr:spPr>
            <a:xfrm>
              <a:off x="18681" y="5362574"/>
              <a:ext cx="2219694" cy="43576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ru-RU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r>
                <a:rPr lang="el-GR" sz="1400" b="1" i="0">
                  <a:latin typeface="Cambria Math"/>
                </a:rPr>
                <a:t>𝜽</a:t>
              </a:r>
              <a:r>
                <a:rPr lang="el-GR" sz="1400" b="1" i="0">
                  <a:latin typeface="Cambria Math" panose="02040503050406030204" pitchFamily="18" charset="0"/>
                </a:rPr>
                <a:t>_</a:t>
              </a:r>
              <a:r>
                <a:rPr lang="es-CO" sz="1400" b="1" i="0">
                  <a:latin typeface="Cambria Math"/>
                </a:rPr>
                <a:t>𝒆=</a:t>
              </a:r>
              <a:r>
                <a:rPr lang="es-CO" sz="1400" i="0">
                  <a:latin typeface="Cambria Math" panose="02040503050406030204" pitchFamily="18" charset="0"/>
                </a:rPr>
                <a:t>(〖</a:t>
              </a:r>
              <a:r>
                <a:rPr lang="el-GR" sz="1400" b="1" i="0">
                  <a:latin typeface="Cambria Math"/>
                </a:rPr>
                <a:t>𝜽</a:t>
              </a:r>
              <a:r>
                <a:rPr lang="es-CO" sz="1400" b="1" i="0">
                  <a:latin typeface="Cambria Math"/>
                </a:rPr>
                <a:t>𝒆</a:t>
              </a:r>
              <a:r>
                <a:rPr lang="es-CO" sz="1400" b="1" i="0">
                  <a:latin typeface="Cambria Math" panose="02040503050406030204" pitchFamily="18" charset="0"/>
                </a:rPr>
                <a:t>〗^</a:t>
              </a:r>
              <a:r>
                <a:rPr lang="es-CO" sz="1400" b="1" i="0">
                  <a:latin typeface="Cambria Math"/>
                </a:rPr>
                <a:t>°∗</a:t>
              </a:r>
              <a:r>
                <a:rPr lang="el-GR" sz="1400" b="1" i="0">
                  <a:latin typeface="Cambria Math"/>
                </a:rPr>
                <a:t>𝝅</a:t>
              </a:r>
              <a:r>
                <a:rPr lang="es-CO" sz="1400" b="1" i="0">
                  <a:latin typeface="Cambria Math" panose="02040503050406030204" pitchFamily="18" charset="0"/>
                </a:rPr>
                <a:t>)/</a:t>
              </a:r>
              <a:r>
                <a:rPr lang="es-CO" sz="1400" b="1" i="0">
                  <a:latin typeface="Cambria Math"/>
                </a:rPr>
                <a:t>𝟏𝟖𝟎</a:t>
              </a:r>
              <a:r>
                <a:rPr lang="es-CO" sz="1200"/>
                <a:t>   en radianes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22</xdr:row>
      <xdr:rowOff>128607</xdr:rowOff>
    </xdr:from>
    <xdr:to>
      <xdr:col>0</xdr:col>
      <xdr:colOff>1598738</xdr:colOff>
      <xdr:row>22</xdr:row>
      <xdr:rowOff>533400</xdr:rowOff>
    </xdr:to>
    <xdr:pic>
      <xdr:nvPicPr>
        <xdr:cNvPr id="5" name="6 Imagen">
          <a:extLst>
            <a:ext uri="{FF2B5EF4-FFF2-40B4-BE49-F238E27FC236}">
              <a16:creationId xmlns:a16="http://schemas.microsoft.com/office/drawing/2014/main" id="{722899B5-A54E-417C-8C5E-E7A1A5E0D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05557"/>
          <a:ext cx="1598738" cy="404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15643</xdr:colOff>
      <xdr:row>26</xdr:row>
      <xdr:rowOff>160784</xdr:rowOff>
    </xdr:from>
    <xdr:to>
      <xdr:col>0</xdr:col>
      <xdr:colOff>1553125</xdr:colOff>
      <xdr:row>28</xdr:row>
      <xdr:rowOff>0</xdr:rowOff>
    </xdr:to>
    <xdr:pic>
      <xdr:nvPicPr>
        <xdr:cNvPr id="6" name="21 Imagen">
          <a:extLst>
            <a:ext uri="{FF2B5EF4-FFF2-40B4-BE49-F238E27FC236}">
              <a16:creationId xmlns:a16="http://schemas.microsoft.com/office/drawing/2014/main" id="{36C70D41-45A9-461E-BF27-578AE6BA1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3" y="9895334"/>
          <a:ext cx="1537482" cy="505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428625</xdr:colOff>
      <xdr:row>16</xdr:row>
      <xdr:rowOff>90487</xdr:rowOff>
    </xdr:from>
    <xdr:ext cx="31233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9BEF535-2E9D-4C01-8756-9F1838857E2C}"/>
                </a:ext>
              </a:extLst>
            </xdr:cNvPr>
            <xdr:cNvSpPr txBox="1"/>
          </xdr:nvSpPr>
          <xdr:spPr>
            <a:xfrm>
              <a:off x="1952625" y="3481387"/>
              <a:ext cx="31233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9BEF535-2E9D-4C01-8756-9F1838857E2C}"/>
                </a:ext>
              </a:extLst>
            </xdr:cNvPr>
            <xdr:cNvSpPr txBox="1"/>
          </xdr:nvSpPr>
          <xdr:spPr>
            <a:xfrm>
              <a:off x="1952625" y="3481387"/>
              <a:ext cx="31233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𝜃_</a:t>
              </a:r>
              <a:r>
                <a:rPr lang="es-ES" sz="1100" b="0" i="0">
                  <a:latin typeface="Cambria Math" panose="02040503050406030204" pitchFamily="18" charset="0"/>
                </a:rPr>
                <a:t>𝑒=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3</xdr:col>
      <xdr:colOff>428625</xdr:colOff>
      <xdr:row>18</xdr:row>
      <xdr:rowOff>90487</xdr:rowOff>
    </xdr:from>
    <xdr:ext cx="31233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B477A225-C75F-42EB-8C89-5744B26D6910}"/>
                </a:ext>
              </a:extLst>
            </xdr:cNvPr>
            <xdr:cNvSpPr txBox="1"/>
          </xdr:nvSpPr>
          <xdr:spPr>
            <a:xfrm>
              <a:off x="1952625" y="3481387"/>
              <a:ext cx="31233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B477A225-C75F-42EB-8C89-5744B26D6910}"/>
                </a:ext>
              </a:extLst>
            </xdr:cNvPr>
            <xdr:cNvSpPr txBox="1"/>
          </xdr:nvSpPr>
          <xdr:spPr>
            <a:xfrm>
              <a:off x="1952625" y="3481387"/>
              <a:ext cx="31233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𝜃_</a:t>
              </a:r>
              <a:r>
                <a:rPr lang="es-ES" sz="1100" b="0" i="0">
                  <a:latin typeface="Cambria Math" panose="02040503050406030204" pitchFamily="18" charset="0"/>
                </a:rPr>
                <a:t>𝑒=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3</xdr:col>
      <xdr:colOff>323850</xdr:colOff>
      <xdr:row>22</xdr:row>
      <xdr:rowOff>71437</xdr:rowOff>
    </xdr:from>
    <xdr:ext cx="37147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14A10E14-FAB8-47B7-86CD-57D875F12F9B}"/>
                </a:ext>
              </a:extLst>
            </xdr:cNvPr>
            <xdr:cNvSpPr txBox="1"/>
          </xdr:nvSpPr>
          <xdr:spPr>
            <a:xfrm>
              <a:off x="2609850" y="4910137"/>
              <a:ext cx="3714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∆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14A10E14-FAB8-47B7-86CD-57D875F12F9B}"/>
                </a:ext>
              </a:extLst>
            </xdr:cNvPr>
            <xdr:cNvSpPr txBox="1"/>
          </xdr:nvSpPr>
          <xdr:spPr>
            <a:xfrm>
              <a:off x="2609850" y="4910137"/>
              <a:ext cx="3714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lang="es-CO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𝑐  =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3</xdr:col>
      <xdr:colOff>323850</xdr:colOff>
      <xdr:row>21</xdr:row>
      <xdr:rowOff>71437</xdr:rowOff>
    </xdr:from>
    <xdr:ext cx="371475" cy="3762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84E7DB88-F87D-4192-9768-EBC2C6F23250}"/>
                </a:ext>
              </a:extLst>
            </xdr:cNvPr>
            <xdr:cNvSpPr txBox="1"/>
          </xdr:nvSpPr>
          <xdr:spPr>
            <a:xfrm>
              <a:off x="2609850" y="5634037"/>
              <a:ext cx="371475" cy="3762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∆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84E7DB88-F87D-4192-9768-EBC2C6F23250}"/>
                </a:ext>
              </a:extLst>
            </xdr:cNvPr>
            <xdr:cNvSpPr txBox="1"/>
          </xdr:nvSpPr>
          <xdr:spPr>
            <a:xfrm>
              <a:off x="2609850" y="5634037"/>
              <a:ext cx="371475" cy="3762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CO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es-CO" sz="1100"/>
            </a:p>
          </xdr:txBody>
        </xdr:sp>
      </mc:Fallback>
    </mc:AlternateContent>
    <xdr:clientData/>
  </xdr:oneCellAnchor>
  <xdr:twoCellAnchor editAs="oneCell">
    <xdr:from>
      <xdr:col>0</xdr:col>
      <xdr:colOff>285750</xdr:colOff>
      <xdr:row>30</xdr:row>
      <xdr:rowOff>47626</xdr:rowOff>
    </xdr:from>
    <xdr:to>
      <xdr:col>0</xdr:col>
      <xdr:colOff>1229532</xdr:colOff>
      <xdr:row>32</xdr:row>
      <xdr:rowOff>190501</xdr:rowOff>
    </xdr:to>
    <xdr:pic>
      <xdr:nvPicPr>
        <xdr:cNvPr id="11" name="20 Imagen">
          <a:extLst>
            <a:ext uri="{FF2B5EF4-FFF2-40B4-BE49-F238E27FC236}">
              <a16:creationId xmlns:a16="http://schemas.microsoft.com/office/drawing/2014/main" id="{CD929B11-FC68-421B-A24F-8A1BD82C4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9344026"/>
          <a:ext cx="943782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2637</xdr:colOff>
      <xdr:row>36</xdr:row>
      <xdr:rowOff>106110</xdr:rowOff>
    </xdr:from>
    <xdr:to>
      <xdr:col>1</xdr:col>
      <xdr:colOff>917062</xdr:colOff>
      <xdr:row>38</xdr:row>
      <xdr:rowOff>95250</xdr:rowOff>
    </xdr:to>
    <xdr:pic>
      <xdr:nvPicPr>
        <xdr:cNvPr id="12" name="7 Imagen">
          <a:extLst>
            <a:ext uri="{FF2B5EF4-FFF2-40B4-BE49-F238E27FC236}">
              <a16:creationId xmlns:a16="http://schemas.microsoft.com/office/drawing/2014/main" id="{B25C0C20-134B-4567-BDD5-4D1866363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7" y="10478835"/>
          <a:ext cx="2533675" cy="541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40</xdr:row>
      <xdr:rowOff>45103</xdr:rowOff>
    </xdr:from>
    <xdr:to>
      <xdr:col>1</xdr:col>
      <xdr:colOff>958222</xdr:colOff>
      <xdr:row>42</xdr:row>
      <xdr:rowOff>161925</xdr:rowOff>
    </xdr:to>
    <xdr:pic>
      <xdr:nvPicPr>
        <xdr:cNvPr id="13" name="8 Imagen">
          <a:extLst>
            <a:ext uri="{FF2B5EF4-FFF2-40B4-BE49-F238E27FC236}">
              <a16:creationId xmlns:a16="http://schemas.microsoft.com/office/drawing/2014/main" id="{291CF5D2-AEA4-4598-B6DE-93066FB48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179828"/>
          <a:ext cx="2539372" cy="497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139109</xdr:colOff>
      <xdr:row>45</xdr:row>
      <xdr:rowOff>136417</xdr:rowOff>
    </xdr:from>
    <xdr:to>
      <xdr:col>1</xdr:col>
      <xdr:colOff>960787</xdr:colOff>
      <xdr:row>46</xdr:row>
      <xdr:rowOff>180975</xdr:rowOff>
    </xdr:to>
    <xdr:pic>
      <xdr:nvPicPr>
        <xdr:cNvPr id="14" name="9 Imagen">
          <a:extLst>
            <a:ext uri="{FF2B5EF4-FFF2-40B4-BE49-F238E27FC236}">
              <a16:creationId xmlns:a16="http://schemas.microsoft.com/office/drawing/2014/main" id="{A4D1D883-995C-4595-8A19-3021D82D2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09" y="14090542"/>
          <a:ext cx="2440928" cy="235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186734</xdr:colOff>
      <xdr:row>47</xdr:row>
      <xdr:rowOff>157206</xdr:rowOff>
    </xdr:from>
    <xdr:to>
      <xdr:col>1</xdr:col>
      <xdr:colOff>641918</xdr:colOff>
      <xdr:row>49</xdr:row>
      <xdr:rowOff>95249</xdr:rowOff>
    </xdr:to>
    <xdr:pic>
      <xdr:nvPicPr>
        <xdr:cNvPr id="15" name="10 Imagen">
          <a:extLst>
            <a:ext uri="{FF2B5EF4-FFF2-40B4-BE49-F238E27FC236}">
              <a16:creationId xmlns:a16="http://schemas.microsoft.com/office/drawing/2014/main" id="{9FC89366-34D3-4525-ACAD-8E5A45041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734" y="14492331"/>
          <a:ext cx="2074434" cy="319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49</xdr:row>
      <xdr:rowOff>180974</xdr:rowOff>
    </xdr:from>
    <xdr:to>
      <xdr:col>1</xdr:col>
      <xdr:colOff>665556</xdr:colOff>
      <xdr:row>52</xdr:row>
      <xdr:rowOff>104774</xdr:rowOff>
    </xdr:to>
    <xdr:pic>
      <xdr:nvPicPr>
        <xdr:cNvPr id="16" name="11 Imagen">
          <a:extLst>
            <a:ext uri="{FF2B5EF4-FFF2-40B4-BE49-F238E27FC236}">
              <a16:creationId xmlns:a16="http://schemas.microsoft.com/office/drawing/2014/main" id="{7182E7CD-0B21-4057-92CB-1BDE9ABCB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4897099"/>
          <a:ext cx="2160981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142534</xdr:colOff>
      <xdr:row>53</xdr:row>
      <xdr:rowOff>117171</xdr:rowOff>
    </xdr:from>
    <xdr:to>
      <xdr:col>1</xdr:col>
      <xdr:colOff>544885</xdr:colOff>
      <xdr:row>57</xdr:row>
      <xdr:rowOff>76200</xdr:rowOff>
    </xdr:to>
    <xdr:pic>
      <xdr:nvPicPr>
        <xdr:cNvPr id="17" name="12 Imagen">
          <a:extLst>
            <a:ext uri="{FF2B5EF4-FFF2-40B4-BE49-F238E27FC236}">
              <a16:creationId xmlns:a16="http://schemas.microsoft.com/office/drawing/2014/main" id="{40C800AA-624C-41C2-A555-CF8281FE8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34" y="15595296"/>
          <a:ext cx="2021601" cy="721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114077</xdr:colOff>
      <xdr:row>61</xdr:row>
      <xdr:rowOff>186650</xdr:rowOff>
    </xdr:from>
    <xdr:to>
      <xdr:col>0</xdr:col>
      <xdr:colOff>1250843</xdr:colOff>
      <xdr:row>65</xdr:row>
      <xdr:rowOff>19050</xdr:rowOff>
    </xdr:to>
    <xdr:pic>
      <xdr:nvPicPr>
        <xdr:cNvPr id="18" name="14 Imagen">
          <a:extLst>
            <a:ext uri="{FF2B5EF4-FFF2-40B4-BE49-F238E27FC236}">
              <a16:creationId xmlns:a16="http://schemas.microsoft.com/office/drawing/2014/main" id="{672BADF4-09DE-4B85-896B-AD01CC137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77" y="17188775"/>
          <a:ext cx="1136766" cy="59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58</xdr:row>
      <xdr:rowOff>63892</xdr:rowOff>
    </xdr:from>
    <xdr:to>
      <xdr:col>1</xdr:col>
      <xdr:colOff>114300</xdr:colOff>
      <xdr:row>61</xdr:row>
      <xdr:rowOff>87215</xdr:rowOff>
    </xdr:to>
    <xdr:pic>
      <xdr:nvPicPr>
        <xdr:cNvPr id="19" name="13 Imagen">
          <a:extLst>
            <a:ext uri="{FF2B5EF4-FFF2-40B4-BE49-F238E27FC236}">
              <a16:creationId xmlns:a16="http://schemas.microsoft.com/office/drawing/2014/main" id="{67EA5B3D-D60F-405D-9DB8-BBB0FC930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494517"/>
          <a:ext cx="1685925" cy="5948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126944</xdr:colOff>
      <xdr:row>77</xdr:row>
      <xdr:rowOff>0</xdr:rowOff>
    </xdr:from>
    <xdr:to>
      <xdr:col>0</xdr:col>
      <xdr:colOff>1220787</xdr:colOff>
      <xdr:row>79</xdr:row>
      <xdr:rowOff>9525</xdr:rowOff>
    </xdr:to>
    <xdr:pic>
      <xdr:nvPicPr>
        <xdr:cNvPr id="20" name="15 Imagen">
          <a:extLst>
            <a:ext uri="{FF2B5EF4-FFF2-40B4-BE49-F238E27FC236}">
              <a16:creationId xmlns:a16="http://schemas.microsoft.com/office/drawing/2014/main" id="{744D6237-2F8E-4F63-BC7F-B04F3C3B2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44" y="20383500"/>
          <a:ext cx="1093843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58174</xdr:colOff>
      <xdr:row>82</xdr:row>
      <xdr:rowOff>53048</xdr:rowOff>
    </xdr:from>
    <xdr:to>
      <xdr:col>1</xdr:col>
      <xdr:colOff>889856</xdr:colOff>
      <xdr:row>84</xdr:row>
      <xdr:rowOff>171450</xdr:rowOff>
    </xdr:to>
    <xdr:pic>
      <xdr:nvPicPr>
        <xdr:cNvPr id="21" name="16 Imagen">
          <a:extLst>
            <a:ext uri="{FF2B5EF4-FFF2-40B4-BE49-F238E27FC236}">
              <a16:creationId xmlns:a16="http://schemas.microsoft.com/office/drawing/2014/main" id="{98FE924A-6726-4732-B488-7DA36077B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74" y="21389048"/>
          <a:ext cx="2450932" cy="499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128919</xdr:rowOff>
    </xdr:from>
    <xdr:to>
      <xdr:col>1</xdr:col>
      <xdr:colOff>402180</xdr:colOff>
      <xdr:row>89</xdr:row>
      <xdr:rowOff>38100</xdr:rowOff>
    </xdr:to>
    <xdr:pic>
      <xdr:nvPicPr>
        <xdr:cNvPr id="22" name="17 Imagen">
          <a:extLst>
            <a:ext uri="{FF2B5EF4-FFF2-40B4-BE49-F238E27FC236}">
              <a16:creationId xmlns:a16="http://schemas.microsoft.com/office/drawing/2014/main" id="{FD59002B-4FD8-45D8-AA1D-BBD2B47A3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36419"/>
          <a:ext cx="2021430" cy="671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30352</xdr:colOff>
      <xdr:row>89</xdr:row>
      <xdr:rowOff>64633</xdr:rowOff>
    </xdr:from>
    <xdr:to>
      <xdr:col>1</xdr:col>
      <xdr:colOff>150625</xdr:colOff>
      <xdr:row>92</xdr:row>
      <xdr:rowOff>123825</xdr:rowOff>
    </xdr:to>
    <xdr:pic>
      <xdr:nvPicPr>
        <xdr:cNvPr id="23" name="18 Imagen">
          <a:extLst>
            <a:ext uri="{FF2B5EF4-FFF2-40B4-BE49-F238E27FC236}">
              <a16:creationId xmlns:a16="http://schemas.microsoft.com/office/drawing/2014/main" id="{91B8DEEB-C838-4B3D-8633-3FBE7DAE1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52" y="22734133"/>
          <a:ext cx="1739523" cy="6306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19</xdr:col>
      <xdr:colOff>323850</xdr:colOff>
      <xdr:row>93</xdr:row>
      <xdr:rowOff>166687</xdr:rowOff>
    </xdr:from>
    <xdr:ext cx="1304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7501240B-23B8-41D4-8D0C-6EAD2BAD44EA}"/>
                </a:ext>
              </a:extLst>
            </xdr:cNvPr>
            <xdr:cNvSpPr txBox="1"/>
          </xdr:nvSpPr>
          <xdr:spPr>
            <a:xfrm>
              <a:off x="14039850" y="19683412"/>
              <a:ext cx="1304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𝜑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7501240B-23B8-41D4-8D0C-6EAD2BAD44EA}"/>
                </a:ext>
              </a:extLst>
            </xdr:cNvPr>
            <xdr:cNvSpPr txBox="1"/>
          </xdr:nvSpPr>
          <xdr:spPr>
            <a:xfrm>
              <a:off x="14039850" y="19683412"/>
              <a:ext cx="1304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𝜑</a:t>
              </a:r>
              <a:endParaRPr lang="es-CO" sz="1100"/>
            </a:p>
          </xdr:txBody>
        </xdr:sp>
      </mc:Fallback>
    </mc:AlternateContent>
    <xdr:clientData/>
  </xdr:oneCellAnchor>
  <xdr:twoCellAnchor>
    <xdr:from>
      <xdr:col>16</xdr:col>
      <xdr:colOff>228600</xdr:colOff>
      <xdr:row>111</xdr:row>
      <xdr:rowOff>138112</xdr:rowOff>
    </xdr:from>
    <xdr:to>
      <xdr:col>22</xdr:col>
      <xdr:colOff>76200</xdr:colOff>
      <xdr:row>126</xdr:row>
      <xdr:rowOff>23812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4F3C8B78-960F-4DA5-8C24-CEEAA2950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6</xdr:col>
      <xdr:colOff>400050</xdr:colOff>
      <xdr:row>37</xdr:row>
      <xdr:rowOff>171450</xdr:rowOff>
    </xdr:from>
    <xdr:to>
      <xdr:col>14</xdr:col>
      <xdr:colOff>695325</xdr:colOff>
      <xdr:row>57</xdr:row>
      <xdr:rowOff>142875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B705DCCE-87A7-4E6F-978C-E520E6FA1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12601575"/>
          <a:ext cx="6619875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459442</xdr:colOff>
      <xdr:row>23</xdr:row>
      <xdr:rowOff>11206</xdr:rowOff>
    </xdr:from>
    <xdr:to>
      <xdr:col>14</xdr:col>
      <xdr:colOff>654984</xdr:colOff>
      <xdr:row>23</xdr:row>
      <xdr:rowOff>912934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7A09DCDE-9103-4A5B-B6EA-6CD5BDEA6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701618" y="7888941"/>
          <a:ext cx="2481542" cy="901728"/>
        </a:xfrm>
        <a:prstGeom prst="rect">
          <a:avLst/>
        </a:prstGeom>
      </xdr:spPr>
    </xdr:pic>
    <xdr:clientData/>
  </xdr:twoCellAnchor>
  <xdr:twoCellAnchor editAs="oneCell">
    <xdr:from>
      <xdr:col>16</xdr:col>
      <xdr:colOff>853328</xdr:colOff>
      <xdr:row>42</xdr:row>
      <xdr:rowOff>140074</xdr:rowOff>
    </xdr:from>
    <xdr:to>
      <xdr:col>25</xdr:col>
      <xdr:colOff>2727696</xdr:colOff>
      <xdr:row>80</xdr:row>
      <xdr:rowOff>113054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E046E613-D1FA-4D8F-B73F-3D047D4C1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163240" y="13844868"/>
          <a:ext cx="9214221" cy="7626598"/>
        </a:xfrm>
        <a:prstGeom prst="rect">
          <a:avLst/>
        </a:prstGeom>
      </xdr:spPr>
    </xdr:pic>
    <xdr:clientData/>
  </xdr:twoCellAnchor>
  <xdr:twoCellAnchor>
    <xdr:from>
      <xdr:col>8</xdr:col>
      <xdr:colOff>47625</xdr:colOff>
      <xdr:row>74</xdr:row>
      <xdr:rowOff>171450</xdr:rowOff>
    </xdr:from>
    <xdr:to>
      <xdr:col>10</xdr:col>
      <xdr:colOff>485775</xdr:colOff>
      <xdr:row>87</xdr:row>
      <xdr:rowOff>133350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B880652D-BAA1-4FED-AE56-95DB1E0C805C}"/>
            </a:ext>
          </a:extLst>
        </xdr:cNvPr>
        <xdr:cNvCxnSpPr/>
      </xdr:nvCxnSpPr>
      <xdr:spPr>
        <a:xfrm flipV="1">
          <a:off x="6477000" y="19983450"/>
          <a:ext cx="1962150" cy="2438400"/>
        </a:xfrm>
        <a:prstGeom prst="straightConnector1">
          <a:avLst/>
        </a:prstGeom>
        <a:ln w="698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75</xdr:row>
      <xdr:rowOff>19050</xdr:rowOff>
    </xdr:from>
    <xdr:to>
      <xdr:col>11</xdr:col>
      <xdr:colOff>485775</xdr:colOff>
      <xdr:row>77</xdr:row>
      <xdr:rowOff>152400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DE2A1780-052A-457E-894B-6F8878FE4ED7}"/>
            </a:ext>
          </a:extLst>
        </xdr:cNvPr>
        <xdr:cNvCxnSpPr/>
      </xdr:nvCxnSpPr>
      <xdr:spPr>
        <a:xfrm>
          <a:off x="8429625" y="20021550"/>
          <a:ext cx="771525" cy="514350"/>
        </a:xfrm>
        <a:prstGeom prst="straightConnector1">
          <a:avLst/>
        </a:prstGeom>
        <a:ln w="730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77</xdr:row>
      <xdr:rowOff>171450</xdr:rowOff>
    </xdr:from>
    <xdr:to>
      <xdr:col>11</xdr:col>
      <xdr:colOff>457200</xdr:colOff>
      <xdr:row>87</xdr:row>
      <xdr:rowOff>142875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612BE9E7-972B-4A66-BE5D-F61607B34C77}"/>
            </a:ext>
          </a:extLst>
        </xdr:cNvPr>
        <xdr:cNvCxnSpPr/>
      </xdr:nvCxnSpPr>
      <xdr:spPr>
        <a:xfrm flipV="1">
          <a:off x="6467475" y="20554950"/>
          <a:ext cx="2705100" cy="1876425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90</xdr:row>
      <xdr:rowOff>28575</xdr:rowOff>
    </xdr:from>
    <xdr:to>
      <xdr:col>6</xdr:col>
      <xdr:colOff>429741</xdr:colOff>
      <xdr:row>93</xdr:row>
      <xdr:rowOff>117705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11 CuadroTexto">
              <a:extLst>
                <a:ext uri="{FF2B5EF4-FFF2-40B4-BE49-F238E27FC236}">
                  <a16:creationId xmlns:a16="http://schemas.microsoft.com/office/drawing/2014/main" id="{289AE2BC-8CCB-4007-B991-16DB5523A976}"/>
                </a:ext>
              </a:extLst>
            </xdr:cNvPr>
            <xdr:cNvSpPr txBox="1"/>
          </xdr:nvSpPr>
          <xdr:spPr>
            <a:xfrm>
              <a:off x="3390900" y="22888575"/>
              <a:ext cx="1944216" cy="66063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ru-RU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14:m>
                <m:oMath xmlns:m="http://schemas.openxmlformats.org/officeDocument/2006/math">
                  <m:sSub>
                    <m:sSubPr>
                      <m:ctrlPr>
                        <a:rPr lang="el-GR" sz="20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l-GR" sz="2000" b="1" i="1">
                          <a:latin typeface="Cambria Math"/>
                        </a:rPr>
                        <m:t>𝜽</m:t>
                      </m:r>
                    </m:e>
                    <m:sub>
                      <m:r>
                        <a:rPr lang="es-CO" sz="2000" b="1" i="1">
                          <a:latin typeface="Cambria Math" panose="02040503050406030204" pitchFamily="18" charset="0"/>
                        </a:rPr>
                        <m:t>𝒑</m:t>
                      </m:r>
                    </m:sub>
                  </m:sSub>
                  <m:r>
                    <a:rPr lang="es-CO" sz="2000" b="1">
                      <a:latin typeface="Cambria Math"/>
                    </a:rPr>
                    <m:t>=</m:t>
                  </m:r>
                  <m:sSup>
                    <m:sSupPr>
                      <m:ctrlPr>
                        <a:rPr lang="es-CO" sz="20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d>
                        <m:dPr>
                          <m:ctrlPr>
                            <a:rPr lang="es-CO" sz="200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lang="es-CO" sz="20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sSub>
                                <m:sSubPr>
                                  <m:ctrlPr>
                                    <a:rPr lang="es-CO" sz="200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s-CO" sz="2000" b="1" i="1">
                                      <a:latin typeface="Cambria Math"/>
                                    </a:rPr>
                                    <m:t>𝑳</m:t>
                                  </m:r>
                                </m:e>
                                <m:sub>
                                  <m:r>
                                    <a:rPr lang="es-CO" sz="2000" b="1" i="1">
                                      <a:latin typeface="Cambria Math"/>
                                    </a:rPr>
                                    <m:t>𝒑</m:t>
                                  </m:r>
                                </m:sub>
                              </m:sSub>
                            </m:num>
                            <m:den>
                              <m:sSub>
                                <m:sSubPr>
                                  <m:ctrlPr>
                                    <a:rPr lang="es-CO" sz="200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s-CO" sz="2000" b="1" i="1">
                                      <a:latin typeface="Cambria Math"/>
                                    </a:rPr>
                                    <m:t>𝑳</m:t>
                                  </m:r>
                                </m:e>
                                <m:sub>
                                  <m:r>
                                    <a:rPr lang="es-CO" sz="2000" b="1" i="1">
                                      <a:latin typeface="Cambria Math"/>
                                    </a:rPr>
                                    <m:t>𝒆</m:t>
                                  </m:r>
                                </m:sub>
                              </m:sSub>
                            </m:den>
                          </m:f>
                        </m:e>
                      </m:d>
                    </m:e>
                    <m:sup>
                      <m:r>
                        <a:rPr lang="es-CO" sz="2000" b="1" i="1">
                          <a:latin typeface="Cambria Math"/>
                        </a:rPr>
                        <m:t>𝟐</m:t>
                      </m:r>
                    </m:sup>
                  </m:sSup>
                </m:oMath>
              </a14:m>
              <a:r>
                <a:rPr lang="es-CO" sz="2000"/>
                <a:t>*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20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l-GR" sz="2000" b="1" i="1">
                          <a:latin typeface="Cambria Math"/>
                        </a:rPr>
                        <m:t>𝜽</m:t>
                      </m:r>
                    </m:e>
                    <m:sub>
                      <m:r>
                        <a:rPr lang="es-CO" sz="2000" b="1" i="1">
                          <a:latin typeface="Cambria Math"/>
                        </a:rPr>
                        <m:t>𝒆</m:t>
                      </m:r>
                    </m:sub>
                  </m:sSub>
                </m:oMath>
              </a14:m>
              <a:endParaRPr lang="es-CO" sz="2000"/>
            </a:p>
          </xdr:txBody>
        </xdr:sp>
      </mc:Choice>
      <mc:Fallback xmlns="">
        <xdr:sp macro="" textlink="">
          <xdr:nvSpPr>
            <xdr:cNvPr id="35" name="11 CuadroTexto">
              <a:extLst>
                <a:ext uri="{FF2B5EF4-FFF2-40B4-BE49-F238E27FC236}">
                  <a16:creationId xmlns:a16="http://schemas.microsoft.com/office/drawing/2014/main" id="{289AE2BC-8CCB-4007-B991-16DB5523A976}"/>
                </a:ext>
              </a:extLst>
            </xdr:cNvPr>
            <xdr:cNvSpPr txBox="1"/>
          </xdr:nvSpPr>
          <xdr:spPr>
            <a:xfrm>
              <a:off x="3390900" y="22888575"/>
              <a:ext cx="1944216" cy="66063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ru-RU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r>
                <a:rPr lang="el-GR" sz="2000" b="1" i="0">
                  <a:latin typeface="Cambria Math"/>
                </a:rPr>
                <a:t>𝜽</a:t>
              </a:r>
              <a:r>
                <a:rPr lang="el-GR" sz="2000" b="1" i="0">
                  <a:latin typeface="Cambria Math" panose="02040503050406030204" pitchFamily="18" charset="0"/>
                </a:rPr>
                <a:t>_</a:t>
              </a:r>
              <a:r>
                <a:rPr lang="es-CO" sz="2000" b="1" i="0">
                  <a:latin typeface="Cambria Math" panose="02040503050406030204" pitchFamily="18" charset="0"/>
                </a:rPr>
                <a:t>𝒑</a:t>
              </a:r>
              <a:r>
                <a:rPr lang="es-CO" sz="2000" b="1" i="0">
                  <a:latin typeface="Cambria Math"/>
                </a:rPr>
                <a:t>=</a:t>
              </a:r>
              <a:r>
                <a:rPr lang="es-CO" sz="2000" i="0">
                  <a:latin typeface="Cambria Math" panose="02040503050406030204" pitchFamily="18" charset="0"/>
                </a:rPr>
                <a:t>(</a:t>
              </a:r>
              <a:r>
                <a:rPr lang="es-CO" sz="2000" b="1" i="0">
                  <a:latin typeface="Cambria Math"/>
                </a:rPr>
                <a:t>𝑳</a:t>
              </a:r>
              <a:r>
                <a:rPr lang="es-CO" sz="2000" b="1" i="0">
                  <a:latin typeface="Cambria Math" panose="02040503050406030204" pitchFamily="18" charset="0"/>
                </a:rPr>
                <a:t>_</a:t>
              </a:r>
              <a:r>
                <a:rPr lang="es-CO" sz="2000" b="1" i="0">
                  <a:latin typeface="Cambria Math"/>
                </a:rPr>
                <a:t>𝒑</a:t>
              </a:r>
              <a:r>
                <a:rPr lang="es-CO" sz="2000" b="1" i="0">
                  <a:latin typeface="Cambria Math" panose="02040503050406030204" pitchFamily="18" charset="0"/>
                </a:rPr>
                <a:t>/</a:t>
              </a:r>
              <a:r>
                <a:rPr lang="es-CO" sz="2000" b="1" i="0">
                  <a:latin typeface="Cambria Math"/>
                </a:rPr>
                <a:t>𝑳</a:t>
              </a:r>
              <a:r>
                <a:rPr lang="es-CO" sz="2000" b="1" i="0">
                  <a:latin typeface="Cambria Math" panose="02040503050406030204" pitchFamily="18" charset="0"/>
                </a:rPr>
                <a:t>_</a:t>
              </a:r>
              <a:r>
                <a:rPr lang="es-CO" sz="2000" b="1" i="0">
                  <a:latin typeface="Cambria Math"/>
                </a:rPr>
                <a:t>𝒆</a:t>
              </a:r>
              <a:r>
                <a:rPr lang="es-CO" sz="2000" b="1" i="0">
                  <a:latin typeface="Cambria Math" panose="02040503050406030204" pitchFamily="18" charset="0"/>
                </a:rPr>
                <a:t> )^</a:t>
              </a:r>
              <a:r>
                <a:rPr lang="es-CO" sz="2000" b="1" i="0">
                  <a:latin typeface="Cambria Math"/>
                </a:rPr>
                <a:t>𝟐</a:t>
              </a:r>
              <a:r>
                <a:rPr lang="es-CO" sz="2000"/>
                <a:t>* </a:t>
              </a:r>
              <a:r>
                <a:rPr lang="el-GR" sz="2000" b="1" i="0">
                  <a:latin typeface="Cambria Math"/>
                </a:rPr>
                <a:t>𝜽</a:t>
              </a:r>
              <a:r>
                <a:rPr lang="es-CO" sz="2000" b="1" i="0">
                  <a:latin typeface="Cambria Math" panose="02040503050406030204" pitchFamily="18" charset="0"/>
                </a:rPr>
                <a:t>_</a:t>
              </a:r>
              <a:r>
                <a:rPr lang="es-CO" sz="2000" b="1" i="0">
                  <a:latin typeface="Cambria Math"/>
                </a:rPr>
                <a:t>𝒆</a:t>
              </a:r>
              <a:endParaRPr lang="es-CO" sz="2000"/>
            </a:p>
          </xdr:txBody>
        </xdr:sp>
      </mc:Fallback>
    </mc:AlternateContent>
    <xdr:clientData/>
  </xdr:twoCellAnchor>
  <xdr:twoCellAnchor>
    <xdr:from>
      <xdr:col>15</xdr:col>
      <xdr:colOff>9525</xdr:colOff>
      <xdr:row>90</xdr:row>
      <xdr:rowOff>95250</xdr:rowOff>
    </xdr:from>
    <xdr:to>
      <xdr:col>17</xdr:col>
      <xdr:colOff>639291</xdr:colOff>
      <xdr:row>93</xdr:row>
      <xdr:rowOff>184380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11 CuadroTexto">
              <a:extLst>
                <a:ext uri="{FF2B5EF4-FFF2-40B4-BE49-F238E27FC236}">
                  <a16:creationId xmlns:a16="http://schemas.microsoft.com/office/drawing/2014/main" id="{5949D1F1-1BE1-458E-95F3-C6AA406836C3}"/>
                </a:ext>
              </a:extLst>
            </xdr:cNvPr>
            <xdr:cNvSpPr txBox="1"/>
          </xdr:nvSpPr>
          <xdr:spPr>
            <a:xfrm>
              <a:off x="12211050" y="23298150"/>
              <a:ext cx="2153766" cy="66063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ru-RU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14:m>
                <m:oMath xmlns:m="http://schemas.openxmlformats.org/officeDocument/2006/math">
                  <m:sSub>
                    <m:sSubPr>
                      <m:ctrlPr>
                        <a:rPr lang="el-GR" sz="20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l-GR" sz="2000" b="1" i="1">
                          <a:latin typeface="Cambria Math"/>
                        </a:rPr>
                        <m:t>𝜽</m:t>
                      </m:r>
                    </m:e>
                    <m:sub>
                      <m:r>
                        <a:rPr lang="es-CO" sz="2000" b="1" i="1">
                          <a:latin typeface="Cambria Math" panose="02040503050406030204" pitchFamily="18" charset="0"/>
                        </a:rPr>
                        <m:t>𝒑</m:t>
                      </m:r>
                    </m:sub>
                  </m:sSub>
                  <m:r>
                    <a:rPr lang="es-CO" sz="2000" b="1">
                      <a:latin typeface="Cambria Math"/>
                    </a:rPr>
                    <m:t>=</m:t>
                  </m:r>
                  <m:sSup>
                    <m:sSupPr>
                      <m:ctrlPr>
                        <a:rPr lang="es-CO" sz="20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d>
                        <m:dPr>
                          <m:ctrlPr>
                            <a:rPr lang="es-CO" sz="200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lang="es-CO" sz="20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sSub>
                                <m:sSubPr>
                                  <m:ctrlPr>
                                    <a:rPr lang="es-CO" sz="200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s-CO" sz="2000" b="1" i="1">
                                      <a:latin typeface="Cambria Math"/>
                                    </a:rPr>
                                    <m:t>𝑳</m:t>
                                  </m:r>
                                </m:e>
                                <m:sub>
                                  <m:r>
                                    <a:rPr lang="es-CO" sz="2000" b="1" i="1">
                                      <a:latin typeface="Cambria Math"/>
                                    </a:rPr>
                                    <m:t>𝒑</m:t>
                                  </m:r>
                                </m:sub>
                              </m:sSub>
                            </m:num>
                            <m:den>
                              <m:sSub>
                                <m:sSubPr>
                                  <m:ctrlPr>
                                    <a:rPr lang="es-CO" sz="200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s-CO" sz="2000" b="1" i="1">
                                      <a:latin typeface="Cambria Math"/>
                                    </a:rPr>
                                    <m:t>𝑳</m:t>
                                  </m:r>
                                </m:e>
                                <m:sub>
                                  <m:r>
                                    <a:rPr lang="es-CO" sz="2000" b="1" i="1">
                                      <a:latin typeface="Cambria Math"/>
                                    </a:rPr>
                                    <m:t>𝒆</m:t>
                                  </m:r>
                                </m:sub>
                              </m:sSub>
                            </m:den>
                          </m:f>
                        </m:e>
                      </m:d>
                    </m:e>
                    <m:sup>
                      <m:r>
                        <a:rPr lang="es-CO" sz="2000" b="1" i="1">
                          <a:latin typeface="Cambria Math"/>
                        </a:rPr>
                        <m:t>𝟐</m:t>
                      </m:r>
                    </m:sup>
                  </m:sSup>
                </m:oMath>
              </a14:m>
              <a:r>
                <a:rPr lang="es-CO" sz="2000"/>
                <a:t>*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20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l-GR" sz="2000" b="1" i="1">
                          <a:latin typeface="Cambria Math"/>
                        </a:rPr>
                        <m:t>𝜽</m:t>
                      </m:r>
                    </m:e>
                    <m:sub>
                      <m:r>
                        <a:rPr lang="es-CO" sz="2000" b="1" i="1">
                          <a:latin typeface="Cambria Math"/>
                        </a:rPr>
                        <m:t>𝒆</m:t>
                      </m:r>
                    </m:sub>
                  </m:sSub>
                </m:oMath>
              </a14:m>
              <a:endParaRPr lang="es-CO" sz="2000"/>
            </a:p>
          </xdr:txBody>
        </xdr:sp>
      </mc:Choice>
      <mc:Fallback xmlns="">
        <xdr:sp macro="" textlink="">
          <xdr:nvSpPr>
            <xdr:cNvPr id="36" name="11 CuadroTexto">
              <a:extLst>
                <a:ext uri="{FF2B5EF4-FFF2-40B4-BE49-F238E27FC236}">
                  <a16:creationId xmlns:a16="http://schemas.microsoft.com/office/drawing/2014/main" id="{5949D1F1-1BE1-458E-95F3-C6AA406836C3}"/>
                </a:ext>
              </a:extLst>
            </xdr:cNvPr>
            <xdr:cNvSpPr txBox="1"/>
          </xdr:nvSpPr>
          <xdr:spPr>
            <a:xfrm>
              <a:off x="12211050" y="23298150"/>
              <a:ext cx="2153766" cy="66063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ru-RU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b="1" kern="1200">
                  <a:solidFill>
                    <a:schemeClr val="tx1"/>
                  </a:solidFill>
                  <a:latin typeface="Arial" charset="0"/>
                  <a:ea typeface="+mn-ea"/>
                  <a:cs typeface="+mn-cs"/>
                </a:defRPr>
              </a:lvl9pPr>
            </a:lstStyle>
            <a:p>
              <a:r>
                <a:rPr lang="el-GR" sz="2000" b="1" i="0">
                  <a:latin typeface="Cambria Math"/>
                </a:rPr>
                <a:t>𝜽</a:t>
              </a:r>
              <a:r>
                <a:rPr lang="el-GR" sz="2000" b="1" i="0">
                  <a:latin typeface="Cambria Math" panose="02040503050406030204" pitchFamily="18" charset="0"/>
                </a:rPr>
                <a:t>_</a:t>
              </a:r>
              <a:r>
                <a:rPr lang="es-CO" sz="2000" b="1" i="0">
                  <a:latin typeface="Cambria Math" panose="02040503050406030204" pitchFamily="18" charset="0"/>
                </a:rPr>
                <a:t>𝒑</a:t>
              </a:r>
              <a:r>
                <a:rPr lang="es-CO" sz="2000" b="1" i="0">
                  <a:latin typeface="Cambria Math"/>
                </a:rPr>
                <a:t>=</a:t>
              </a:r>
              <a:r>
                <a:rPr lang="es-CO" sz="2000" i="0">
                  <a:latin typeface="Cambria Math" panose="02040503050406030204" pitchFamily="18" charset="0"/>
                </a:rPr>
                <a:t>(</a:t>
              </a:r>
              <a:r>
                <a:rPr lang="es-CO" sz="2000" b="1" i="0">
                  <a:latin typeface="Cambria Math"/>
                </a:rPr>
                <a:t>𝑳</a:t>
              </a:r>
              <a:r>
                <a:rPr lang="es-CO" sz="2000" b="1" i="0">
                  <a:latin typeface="Cambria Math" panose="02040503050406030204" pitchFamily="18" charset="0"/>
                </a:rPr>
                <a:t>_</a:t>
              </a:r>
              <a:r>
                <a:rPr lang="es-CO" sz="2000" b="1" i="0">
                  <a:latin typeface="Cambria Math"/>
                </a:rPr>
                <a:t>𝒑</a:t>
              </a:r>
              <a:r>
                <a:rPr lang="es-CO" sz="2000" b="1" i="0">
                  <a:latin typeface="Cambria Math" panose="02040503050406030204" pitchFamily="18" charset="0"/>
                </a:rPr>
                <a:t>/</a:t>
              </a:r>
              <a:r>
                <a:rPr lang="es-CO" sz="2000" b="1" i="0">
                  <a:latin typeface="Cambria Math"/>
                </a:rPr>
                <a:t>𝑳</a:t>
              </a:r>
              <a:r>
                <a:rPr lang="es-CO" sz="2000" b="1" i="0">
                  <a:latin typeface="Cambria Math" panose="02040503050406030204" pitchFamily="18" charset="0"/>
                </a:rPr>
                <a:t>_</a:t>
              </a:r>
              <a:r>
                <a:rPr lang="es-CO" sz="2000" b="1" i="0">
                  <a:latin typeface="Cambria Math"/>
                </a:rPr>
                <a:t>𝒆</a:t>
              </a:r>
              <a:r>
                <a:rPr lang="es-CO" sz="2000" b="1" i="0">
                  <a:latin typeface="Cambria Math" panose="02040503050406030204" pitchFamily="18" charset="0"/>
                </a:rPr>
                <a:t> )^</a:t>
              </a:r>
              <a:r>
                <a:rPr lang="es-CO" sz="2000" b="1" i="0">
                  <a:latin typeface="Cambria Math"/>
                </a:rPr>
                <a:t>𝟐</a:t>
              </a:r>
              <a:r>
                <a:rPr lang="es-CO" sz="2000"/>
                <a:t>* </a:t>
              </a:r>
              <a:r>
                <a:rPr lang="el-GR" sz="2000" b="1" i="0">
                  <a:latin typeface="Cambria Math"/>
                </a:rPr>
                <a:t>𝜽</a:t>
              </a:r>
              <a:r>
                <a:rPr lang="es-CO" sz="2000" b="1" i="0">
                  <a:latin typeface="Cambria Math" panose="02040503050406030204" pitchFamily="18" charset="0"/>
                </a:rPr>
                <a:t>_</a:t>
              </a:r>
              <a:r>
                <a:rPr lang="es-CO" sz="2000" b="1" i="0">
                  <a:latin typeface="Cambria Math"/>
                </a:rPr>
                <a:t>𝒆</a:t>
              </a:r>
              <a:endParaRPr lang="es-CO" sz="2000"/>
            </a:p>
          </xdr:txBody>
        </xdr:sp>
      </mc:Fallback>
    </mc:AlternateContent>
    <xdr:clientData/>
  </xdr:twoCellAnchor>
  <xdr:twoCellAnchor editAs="oneCell">
    <xdr:from>
      <xdr:col>17</xdr:col>
      <xdr:colOff>100694</xdr:colOff>
      <xdr:row>80</xdr:row>
      <xdr:rowOff>127907</xdr:rowOff>
    </xdr:from>
    <xdr:to>
      <xdr:col>17</xdr:col>
      <xdr:colOff>642284</xdr:colOff>
      <xdr:row>93</xdr:row>
      <xdr:rowOff>185082</xdr:rowOff>
    </xdr:to>
    <xdr:pic>
      <xdr:nvPicPr>
        <xdr:cNvPr id="37" name="7 Imagen">
          <a:extLst>
            <a:ext uri="{FF2B5EF4-FFF2-40B4-BE49-F238E27FC236}">
              <a16:creationId xmlns:a16="http://schemas.microsoft.com/office/drawing/2014/main" id="{536B70A8-2EBB-4268-85CF-7C3DACBA7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411201" y="22421850"/>
          <a:ext cx="2533675" cy="541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141838</xdr:colOff>
      <xdr:row>80</xdr:row>
      <xdr:rowOff>146943</xdr:rowOff>
    </xdr:from>
    <xdr:to>
      <xdr:col>18</xdr:col>
      <xdr:colOff>639660</xdr:colOff>
      <xdr:row>94</xdr:row>
      <xdr:rowOff>19315</xdr:rowOff>
    </xdr:to>
    <xdr:pic>
      <xdr:nvPicPr>
        <xdr:cNvPr id="38" name="8 Imagen">
          <a:extLst>
            <a:ext uri="{FF2B5EF4-FFF2-40B4-BE49-F238E27FC236}">
              <a16:creationId xmlns:a16="http://schemas.microsoft.com/office/drawing/2014/main" id="{78424E1A-7554-4514-918E-0D25B3D27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4189613" y="22465618"/>
          <a:ext cx="2539372" cy="497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257175</xdr:colOff>
      <xdr:row>82</xdr:row>
      <xdr:rowOff>85725</xdr:rowOff>
    </xdr:from>
    <xdr:to>
      <xdr:col>22</xdr:col>
      <xdr:colOff>742950</xdr:colOff>
      <xdr:row>92</xdr:row>
      <xdr:rowOff>28575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FEBF834D-B36B-4CA3-96BA-E84C9BADED65}"/>
            </a:ext>
          </a:extLst>
        </xdr:cNvPr>
        <xdr:cNvCxnSpPr/>
      </xdr:nvCxnSpPr>
      <xdr:spPr>
        <a:xfrm flipV="1">
          <a:off x="17611725" y="21764625"/>
          <a:ext cx="1400175" cy="1847850"/>
        </a:xfrm>
        <a:prstGeom prst="straightConnector1">
          <a:avLst/>
        </a:prstGeom>
        <a:ln w="34925">
          <a:solidFill>
            <a:srgbClr val="FF0000">
              <a:alpha val="97000"/>
            </a:srgb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266700</xdr:colOff>
      <xdr:row>88</xdr:row>
      <xdr:rowOff>66675</xdr:rowOff>
    </xdr:from>
    <xdr:to>
      <xdr:col>22</xdr:col>
      <xdr:colOff>209550</xdr:colOff>
      <xdr:row>92</xdr:row>
      <xdr:rowOff>19050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812EF65D-CD3E-4D60-8B50-33A18B3129B6}"/>
            </a:ext>
          </a:extLst>
        </xdr:cNvPr>
        <xdr:cNvCxnSpPr/>
      </xdr:nvCxnSpPr>
      <xdr:spPr>
        <a:xfrm flipV="1">
          <a:off x="17621250" y="22888575"/>
          <a:ext cx="857250" cy="714375"/>
        </a:xfrm>
        <a:prstGeom prst="straightConnector1">
          <a:avLst/>
        </a:prstGeom>
        <a:ln w="412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276225</xdr:colOff>
      <xdr:row>87</xdr:row>
      <xdr:rowOff>142875</xdr:rowOff>
    </xdr:from>
    <xdr:to>
      <xdr:col>22</xdr:col>
      <xdr:colOff>695325</xdr:colOff>
      <xdr:row>91</xdr:row>
      <xdr:rowOff>171450</xdr:rowOff>
    </xdr:to>
    <xdr:cxnSp macro="">
      <xdr:nvCxnSpPr>
        <xdr:cNvPr id="44" name="Conector recto de flecha 43">
          <a:extLst>
            <a:ext uri="{FF2B5EF4-FFF2-40B4-BE49-F238E27FC236}">
              <a16:creationId xmlns:a16="http://schemas.microsoft.com/office/drawing/2014/main" id="{BD1CDBE7-CDA1-4099-9F22-EA9B05598A3E}"/>
            </a:ext>
          </a:extLst>
        </xdr:cNvPr>
        <xdr:cNvCxnSpPr/>
      </xdr:nvCxnSpPr>
      <xdr:spPr>
        <a:xfrm flipV="1">
          <a:off x="17630775" y="22774275"/>
          <a:ext cx="1333500" cy="790575"/>
        </a:xfrm>
        <a:prstGeom prst="straightConnector1">
          <a:avLst/>
        </a:prstGeom>
        <a:ln w="317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257175</xdr:colOff>
      <xdr:row>87</xdr:row>
      <xdr:rowOff>57150</xdr:rowOff>
    </xdr:from>
    <xdr:to>
      <xdr:col>23</xdr:col>
      <xdr:colOff>400050</xdr:colOff>
      <xdr:row>92</xdr:row>
      <xdr:rowOff>28575</xdr:rowOff>
    </xdr:to>
    <xdr:cxnSp macro="">
      <xdr:nvCxnSpPr>
        <xdr:cNvPr id="46" name="Conector recto de flecha 45">
          <a:extLst>
            <a:ext uri="{FF2B5EF4-FFF2-40B4-BE49-F238E27FC236}">
              <a16:creationId xmlns:a16="http://schemas.microsoft.com/office/drawing/2014/main" id="{2D83EF7F-07E8-435C-A311-9975967A5A37}"/>
            </a:ext>
          </a:extLst>
        </xdr:cNvPr>
        <xdr:cNvCxnSpPr/>
      </xdr:nvCxnSpPr>
      <xdr:spPr>
        <a:xfrm flipV="1">
          <a:off x="17611725" y="22688550"/>
          <a:ext cx="1819275" cy="923925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247650</xdr:colOff>
      <xdr:row>81</xdr:row>
      <xdr:rowOff>152400</xdr:rowOff>
    </xdr:from>
    <xdr:to>
      <xdr:col>21</xdr:col>
      <xdr:colOff>247650</xdr:colOff>
      <xdr:row>92</xdr:row>
      <xdr:rowOff>28575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F2544A8B-5CC6-4128-B03A-5AEAD3A05DD4}"/>
            </a:ext>
          </a:extLst>
        </xdr:cNvPr>
        <xdr:cNvCxnSpPr/>
      </xdr:nvCxnSpPr>
      <xdr:spPr>
        <a:xfrm flipV="1">
          <a:off x="17602200" y="21640800"/>
          <a:ext cx="0" cy="1971675"/>
        </a:xfrm>
        <a:prstGeom prst="line">
          <a:avLst/>
        </a:prstGeom>
        <a:ln w="15875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733425</xdr:colOff>
      <xdr:row>91</xdr:row>
      <xdr:rowOff>157162</xdr:rowOff>
    </xdr:from>
    <xdr:to>
      <xdr:col>26</xdr:col>
      <xdr:colOff>85725</xdr:colOff>
      <xdr:row>104</xdr:row>
      <xdr:rowOff>80962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881730FD-2A3E-4F57-953D-A4F744F5E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5</xdr:col>
      <xdr:colOff>527299</xdr:colOff>
      <xdr:row>13</xdr:row>
      <xdr:rowOff>47311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06C478-E9FD-41FE-8569-C957437F9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4337299" cy="1190311"/>
        </a:xfrm>
        <a:prstGeom prst="rect">
          <a:avLst/>
        </a:prstGeom>
      </xdr:spPr>
    </xdr:pic>
    <xdr:clientData/>
  </xdr:twoCellAnchor>
  <xdr:twoCellAnchor editAs="oneCell">
    <xdr:from>
      <xdr:col>6</xdr:col>
      <xdr:colOff>161925</xdr:colOff>
      <xdr:row>6</xdr:row>
      <xdr:rowOff>133350</xdr:rowOff>
    </xdr:from>
    <xdr:to>
      <xdr:col>11</xdr:col>
      <xdr:colOff>689223</xdr:colOff>
      <xdr:row>13</xdr:row>
      <xdr:rowOff>111618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871416-5A2C-4CED-9029-C114FB733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33925" y="1276350"/>
          <a:ext cx="4337298" cy="13117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3</xdr:col>
      <xdr:colOff>85725</xdr:colOff>
      <xdr:row>24</xdr:row>
      <xdr:rowOff>98485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0961E7-E840-4161-A589-F5243AADF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1375"/>
          <a:ext cx="2371725" cy="1431985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chemeClr val="bg2"/>
          </a:outerShdw>
          <a:softEdge rad="127000"/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152400</xdr:colOff>
      <xdr:row>15</xdr:row>
      <xdr:rowOff>91996</xdr:rowOff>
    </xdr:from>
    <xdr:to>
      <xdr:col>11</xdr:col>
      <xdr:colOff>79104</xdr:colOff>
      <xdr:row>35</xdr:row>
      <xdr:rowOff>33830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0D4F1C2-88A8-43A1-9B41-BF1D95887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00400" y="3092371"/>
          <a:ext cx="5260704" cy="3894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9129-DCFE-4169-9A99-A689F53D1D10}">
  <dimension ref="A1:AA115"/>
  <sheetViews>
    <sheetView topLeftCell="A40" zoomScale="85" zoomScaleNormal="85" workbookViewId="0">
      <selection activeCell="A20" sqref="A20"/>
    </sheetView>
  </sheetViews>
  <sheetFormatPr baseColWidth="10" defaultRowHeight="15" x14ac:dyDescent="0.25"/>
  <cols>
    <col min="1" max="1" width="24.28515625" customWidth="1"/>
    <col min="2" max="2" width="14.7109375" customWidth="1"/>
    <col min="3" max="3" width="15.42578125" bestFit="1" customWidth="1"/>
    <col min="4" max="4" width="12.42578125" bestFit="1" customWidth="1"/>
    <col min="5" max="5" width="14.5703125" bestFit="1" customWidth="1"/>
    <col min="9" max="9" width="14.85546875" customWidth="1"/>
    <col min="16" max="16" width="15.28515625" customWidth="1"/>
    <col min="17" max="17" width="16.28515625" customWidth="1"/>
    <col min="22" max="22" width="13.7109375" bestFit="1" customWidth="1"/>
    <col min="26" max="26" width="78.28515625" customWidth="1"/>
  </cols>
  <sheetData>
    <row r="1" spans="1:7" ht="30" customHeight="1" x14ac:dyDescent="0.25">
      <c r="A1" s="1" t="s">
        <v>0</v>
      </c>
    </row>
    <row r="2" spans="1:7" ht="30" customHeight="1" x14ac:dyDescent="0.25">
      <c r="A2" s="1" t="s">
        <v>1</v>
      </c>
    </row>
    <row r="3" spans="1:7" ht="30" customHeight="1" x14ac:dyDescent="0.25">
      <c r="A3" s="1" t="s">
        <v>2</v>
      </c>
    </row>
    <row r="4" spans="1:7" ht="30" customHeight="1" x14ac:dyDescent="0.25">
      <c r="A4" s="1" t="s">
        <v>3</v>
      </c>
    </row>
    <row r="5" spans="1:7" ht="30" customHeight="1" x14ac:dyDescent="0.25">
      <c r="A5" s="1" t="s">
        <v>21</v>
      </c>
      <c r="B5" s="30">
        <v>90</v>
      </c>
      <c r="C5" t="s">
        <v>22</v>
      </c>
      <c r="D5" t="s">
        <v>23</v>
      </c>
      <c r="F5">
        <v>10</v>
      </c>
    </row>
    <row r="6" spans="1:7" ht="30" customHeight="1" x14ac:dyDescent="0.25">
      <c r="A6" s="43" t="s">
        <v>19</v>
      </c>
      <c r="B6" s="44"/>
      <c r="C6" s="45">
        <v>100</v>
      </c>
      <c r="D6" t="s">
        <v>20</v>
      </c>
      <c r="E6" t="s">
        <v>16</v>
      </c>
      <c r="F6" s="30">
        <v>50</v>
      </c>
      <c r="G6" t="s">
        <v>17</v>
      </c>
    </row>
    <row r="7" spans="1:7" ht="30" customHeight="1" x14ac:dyDescent="0.25">
      <c r="A7" s="1" t="s">
        <v>18</v>
      </c>
      <c r="B7" s="7">
        <v>7.8E-2</v>
      </c>
      <c r="E7" s="5" t="s">
        <v>14</v>
      </c>
      <c r="F7" s="6">
        <v>3.65</v>
      </c>
      <c r="G7" t="s">
        <v>15</v>
      </c>
    </row>
    <row r="8" spans="1:7" x14ac:dyDescent="0.25">
      <c r="A8" s="2" t="s">
        <v>4</v>
      </c>
    </row>
    <row r="9" spans="1:7" x14ac:dyDescent="0.25">
      <c r="A9" s="3" t="s">
        <v>5</v>
      </c>
    </row>
    <row r="10" spans="1:7" x14ac:dyDescent="0.25">
      <c r="A10" s="3" t="s">
        <v>6</v>
      </c>
    </row>
    <row r="11" spans="1:7" x14ac:dyDescent="0.25">
      <c r="A11" s="3" t="s">
        <v>7</v>
      </c>
    </row>
    <row r="12" spans="1:7" x14ac:dyDescent="0.25">
      <c r="A12" s="3" t="s">
        <v>8</v>
      </c>
    </row>
    <row r="14" spans="1:7" x14ac:dyDescent="0.25">
      <c r="A14" s="3" t="s">
        <v>5</v>
      </c>
    </row>
    <row r="15" spans="1:7" ht="28.5" customHeight="1" x14ac:dyDescent="0.25">
      <c r="C15" s="5" t="s">
        <v>13</v>
      </c>
      <c r="D15" s="8">
        <f>+SQRT(B5*C6)</f>
        <v>94.868329805051374</v>
      </c>
      <c r="F15" s="1" t="s">
        <v>9</v>
      </c>
    </row>
    <row r="16" spans="1:7" ht="28.5" customHeight="1" x14ac:dyDescent="0.25">
      <c r="C16" s="5"/>
      <c r="D16" s="8"/>
      <c r="F16" s="1"/>
    </row>
    <row r="17" spans="1:17" ht="28.5" customHeight="1" x14ac:dyDescent="0.35">
      <c r="C17" s="28"/>
      <c r="D17" s="47"/>
      <c r="E17" s="50">
        <f>+(90/PI())*(C6/B5)</f>
        <v>31.83098861837907</v>
      </c>
      <c r="F17" s="51">
        <f>+INT(E17)</f>
        <v>31</v>
      </c>
      <c r="G17" s="33">
        <f>+INT((E17-F17)*60)</f>
        <v>49</v>
      </c>
      <c r="H17" s="52">
        <f>+(E17-(F17+G17/60))*3600</f>
        <v>51.559026164653687</v>
      </c>
      <c r="J17" s="27">
        <f>SIN(RADIANS(30))</f>
        <v>0.49999999999999994</v>
      </c>
    </row>
    <row r="18" spans="1:17" ht="28.5" customHeight="1" x14ac:dyDescent="0.25">
      <c r="C18" s="5"/>
      <c r="D18" s="8"/>
      <c r="F18" s="31" t="s">
        <v>63</v>
      </c>
      <c r="G18" s="32" t="s">
        <v>64</v>
      </c>
      <c r="H18" s="32" t="s">
        <v>65</v>
      </c>
    </row>
    <row r="19" spans="1:17" ht="28.5" customHeight="1" x14ac:dyDescent="0.4">
      <c r="C19" s="48"/>
      <c r="D19" s="48"/>
      <c r="E19" s="49">
        <f>+E17*PI()/180</f>
        <v>0.55555555555555558</v>
      </c>
      <c r="F19" s="29" t="s">
        <v>24</v>
      </c>
    </row>
    <row r="20" spans="1:17" ht="28.5" customHeight="1" x14ac:dyDescent="0.25">
      <c r="C20" s="5"/>
      <c r="D20" s="8"/>
      <c r="F20" s="1"/>
    </row>
    <row r="21" spans="1:17" ht="28.5" customHeight="1" x14ac:dyDescent="0.25">
      <c r="C21" s="5"/>
      <c r="D21" s="8"/>
      <c r="F21" s="1"/>
    </row>
    <row r="22" spans="1:17" ht="40.5" customHeight="1" x14ac:dyDescent="0.25">
      <c r="D22" s="8"/>
      <c r="E22" s="4" t="s">
        <v>10</v>
      </c>
      <c r="G22" s="33">
        <f>144-42</f>
        <v>102</v>
      </c>
    </row>
    <row r="23" spans="1:17" ht="66.75" customHeight="1" x14ac:dyDescent="3.5">
      <c r="D23" s="8"/>
      <c r="E23" s="9" t="s">
        <v>26</v>
      </c>
      <c r="F23" s="9"/>
      <c r="G23" s="9"/>
      <c r="H23" s="9"/>
      <c r="I23" s="36" t="s">
        <v>66</v>
      </c>
      <c r="J23" s="36" t="s">
        <v>67</v>
      </c>
      <c r="K23" s="36" t="s">
        <v>66</v>
      </c>
    </row>
    <row r="24" spans="1:17" ht="92.25" x14ac:dyDescent="1.35">
      <c r="A24" s="1" t="s">
        <v>11</v>
      </c>
      <c r="P24" s="38">
        <v>2</v>
      </c>
      <c r="Q24" s="66" t="s">
        <v>80</v>
      </c>
    </row>
    <row r="25" spans="1:17" ht="26.25" x14ac:dyDescent="0.4">
      <c r="A25" s="1" t="s">
        <v>25</v>
      </c>
      <c r="P25" s="29">
        <v>3</v>
      </c>
    </row>
    <row r="26" spans="1:17" ht="26.25" x14ac:dyDescent="0.4">
      <c r="A26" s="35" t="s">
        <v>12</v>
      </c>
      <c r="D26">
        <f>102-2*E17</f>
        <v>38.33802276324186</v>
      </c>
      <c r="N26">
        <v>50</v>
      </c>
      <c r="O26" t="s">
        <v>68</v>
      </c>
      <c r="P26" s="29">
        <v>4</v>
      </c>
    </row>
    <row r="27" spans="1:17" ht="26.25" x14ac:dyDescent="0.4">
      <c r="A27" s="1" t="s">
        <v>27</v>
      </c>
      <c r="P27" s="29">
        <v>5</v>
      </c>
    </row>
    <row r="28" spans="1:17" ht="26.25" x14ac:dyDescent="0.4">
      <c r="C28">
        <f>2*ASIN(F5/(2*B5))</f>
        <v>0.11116834656183494</v>
      </c>
      <c r="D28">
        <f>+C28*180/PI()</f>
        <v>6.3694770734408177</v>
      </c>
      <c r="E28" t="s">
        <v>28</v>
      </c>
      <c r="P28" s="29"/>
    </row>
    <row r="29" spans="1:17" x14ac:dyDescent="0.25">
      <c r="N29">
        <f>+N26*1000/3600*2</f>
        <v>27.777777777777779</v>
      </c>
    </row>
    <row r="32" spans="1:17" ht="23.25" x14ac:dyDescent="0.25">
      <c r="C32" s="1" t="s">
        <v>29</v>
      </c>
      <c r="E32" s="39" t="s">
        <v>38</v>
      </c>
      <c r="F32" s="40">
        <f>+F5*D26/D28</f>
        <v>60.190220203636756</v>
      </c>
      <c r="G32" s="39" t="s">
        <v>15</v>
      </c>
    </row>
    <row r="33" spans="1:7" ht="23.25" x14ac:dyDescent="0.25">
      <c r="E33" s="39" t="s">
        <v>66</v>
      </c>
      <c r="F33" s="39" t="s">
        <v>67</v>
      </c>
      <c r="G33" s="39" t="s">
        <v>66</v>
      </c>
    </row>
    <row r="34" spans="1:7" ht="23.25" x14ac:dyDescent="0.25">
      <c r="C34" s="1"/>
      <c r="E34" s="39">
        <v>100</v>
      </c>
      <c r="F34" s="39">
        <v>60.19</v>
      </c>
      <c r="G34" s="39">
        <v>100</v>
      </c>
    </row>
    <row r="35" spans="1:7" x14ac:dyDescent="0.25">
      <c r="C35" s="1" t="s">
        <v>32</v>
      </c>
    </row>
    <row r="36" spans="1:7" x14ac:dyDescent="0.25">
      <c r="A36" s="1" t="s">
        <v>30</v>
      </c>
      <c r="C36" s="10"/>
    </row>
    <row r="38" spans="1:7" ht="28.5" x14ac:dyDescent="0.45">
      <c r="D38" s="12">
        <f>+C6*(1-(E19^2/10)+(E19^4/216)-(E19^6/9360))</f>
        <v>96.957367922759659</v>
      </c>
      <c r="F38" s="57" t="s">
        <v>74</v>
      </c>
    </row>
    <row r="39" spans="1:7" ht="28.5" x14ac:dyDescent="0.45">
      <c r="F39" s="57" t="s">
        <v>75</v>
      </c>
    </row>
    <row r="41" spans="1:7" x14ac:dyDescent="0.25">
      <c r="D41" s="12">
        <f>+C6*((E19/3)-(E19^3/42)+(E19^5/1320)-(E19^7/75600))</f>
        <v>18.114249585349182</v>
      </c>
    </row>
    <row r="45" spans="1:7" x14ac:dyDescent="0.25">
      <c r="A45" s="1" t="s">
        <v>31</v>
      </c>
    </row>
    <row r="47" spans="1:7" x14ac:dyDescent="0.25">
      <c r="D47" s="12">
        <f>+D41-B5*(1-COS(RADIANS(E17)))</f>
        <v>4.5789302418066811</v>
      </c>
    </row>
    <row r="49" spans="2:4" x14ac:dyDescent="0.25">
      <c r="D49" s="12">
        <f>+D38-B5*SIN(RADIANS(E17))</f>
        <v>49.489983203291757</v>
      </c>
    </row>
    <row r="51" spans="2:4" x14ac:dyDescent="0.25">
      <c r="B51" s="62"/>
      <c r="C51" s="62"/>
      <c r="D51" s="62"/>
    </row>
    <row r="52" spans="2:4" ht="23.25" x14ac:dyDescent="0.35">
      <c r="B52" s="62"/>
      <c r="C52" s="62"/>
      <c r="D52" s="64">
        <f>+D49+(B5+D47)*TAN(RADIANS(G22/2))</f>
        <v>166.28523522702582</v>
      </c>
    </row>
    <row r="53" spans="2:4" x14ac:dyDescent="0.25">
      <c r="B53" s="62"/>
      <c r="C53" s="62"/>
      <c r="D53" s="62"/>
    </row>
    <row r="54" spans="2:4" x14ac:dyDescent="0.25">
      <c r="B54" s="62"/>
      <c r="C54" s="62"/>
      <c r="D54" s="62"/>
    </row>
    <row r="56" spans="2:4" x14ac:dyDescent="0.25">
      <c r="D56" s="12">
        <f>+(B5+D47)*(1/COS(RADIANS(G22/2)))-B5</f>
        <v>60.287407792443105</v>
      </c>
    </row>
    <row r="60" spans="2:4" x14ac:dyDescent="0.25">
      <c r="D60" s="12">
        <f>+D38-D41/TAN(RADIANS(E17))</f>
        <v>67.777325287989882</v>
      </c>
    </row>
    <row r="63" spans="2:4" x14ac:dyDescent="0.25">
      <c r="D63" s="12">
        <f>+D41/SIN(RADIANS(E17))</f>
        <v>34.34531883979686</v>
      </c>
    </row>
    <row r="67" spans="1:3" ht="18.75" x14ac:dyDescent="0.3">
      <c r="A67" s="34" t="s">
        <v>33</v>
      </c>
      <c r="B67" s="26"/>
      <c r="C67" s="26"/>
    </row>
    <row r="68" spans="1:3" ht="18.75" x14ac:dyDescent="0.3">
      <c r="A68" s="41" t="s">
        <v>34</v>
      </c>
      <c r="B68" s="26"/>
      <c r="C68" s="42">
        <v>4345</v>
      </c>
    </row>
    <row r="69" spans="1:3" ht="18.75" x14ac:dyDescent="0.3">
      <c r="A69" s="41"/>
      <c r="B69" s="26"/>
      <c r="C69" s="42"/>
    </row>
    <row r="70" spans="1:3" ht="18.75" x14ac:dyDescent="0.3">
      <c r="A70" s="34" t="s">
        <v>35</v>
      </c>
      <c r="B70" s="26"/>
      <c r="C70" s="42">
        <f>+C68-C6</f>
        <v>4245</v>
      </c>
    </row>
    <row r="71" spans="1:3" ht="18.75" x14ac:dyDescent="0.3">
      <c r="A71" s="34" t="s">
        <v>34</v>
      </c>
      <c r="B71" s="26"/>
      <c r="C71" s="42">
        <f>+C70+C6</f>
        <v>4345</v>
      </c>
    </row>
    <row r="72" spans="1:3" ht="18.75" x14ac:dyDescent="0.3">
      <c r="A72" s="34" t="s">
        <v>36</v>
      </c>
      <c r="B72" s="26"/>
      <c r="C72" s="42">
        <f>+C71+F32</f>
        <v>4405.1902202036372</v>
      </c>
    </row>
    <row r="73" spans="1:3" ht="18.75" x14ac:dyDescent="0.3">
      <c r="A73" s="34" t="s">
        <v>37</v>
      </c>
      <c r="B73" s="26"/>
      <c r="C73" s="42">
        <f>+C72+C6</f>
        <v>4505.1902202036372</v>
      </c>
    </row>
    <row r="76" spans="1:3" x14ac:dyDescent="0.25">
      <c r="A76" s="3" t="s">
        <v>5</v>
      </c>
    </row>
    <row r="77" spans="1:3" x14ac:dyDescent="0.25">
      <c r="A77" s="1" t="s">
        <v>39</v>
      </c>
    </row>
    <row r="78" spans="1:3" x14ac:dyDescent="0.25">
      <c r="A78" s="1" t="s">
        <v>40</v>
      </c>
    </row>
    <row r="79" spans="1:3" x14ac:dyDescent="0.25">
      <c r="A79" s="1" t="s">
        <v>32</v>
      </c>
    </row>
    <row r="80" spans="1:3" x14ac:dyDescent="0.25">
      <c r="A80" s="1"/>
    </row>
    <row r="81" spans="1:27" x14ac:dyDescent="0.25">
      <c r="A81" s="14"/>
    </row>
    <row r="82" spans="1:27" x14ac:dyDescent="0.25">
      <c r="A82" s="1" t="s">
        <v>41</v>
      </c>
    </row>
    <row r="83" spans="1:27" x14ac:dyDescent="0.25">
      <c r="A83" s="1"/>
    </row>
    <row r="84" spans="1:27" x14ac:dyDescent="0.25">
      <c r="D84" s="12">
        <f>+D41+B5*COS(RADIANS(E17))</f>
        <v>94.578930241806688</v>
      </c>
    </row>
    <row r="87" spans="1:27" x14ac:dyDescent="0.25">
      <c r="D87" s="12">
        <f>+SQRT(D38^2+D41^2)</f>
        <v>98.634969623099224</v>
      </c>
      <c r="V87">
        <v>42</v>
      </c>
    </row>
    <row r="91" spans="1:27" x14ac:dyDescent="0.25">
      <c r="C91" t="s">
        <v>42</v>
      </c>
    </row>
    <row r="92" spans="1:27" x14ac:dyDescent="0.25">
      <c r="J92">
        <v>42</v>
      </c>
      <c r="X92">
        <v>500</v>
      </c>
      <c r="Y92">
        <v>500</v>
      </c>
    </row>
    <row r="93" spans="1:27" x14ac:dyDescent="0.25">
      <c r="V93" t="s">
        <v>43</v>
      </c>
    </row>
    <row r="94" spans="1:27" x14ac:dyDescent="0.25">
      <c r="X94" t="s">
        <v>45</v>
      </c>
      <c r="Y94" t="s">
        <v>44</v>
      </c>
    </row>
    <row r="95" spans="1:27" ht="42" customHeight="1" x14ac:dyDescent="0.4">
      <c r="B95" s="37" t="s">
        <v>43</v>
      </c>
      <c r="C95" s="13">
        <f>+C70</f>
        <v>4245</v>
      </c>
      <c r="D95" s="32">
        <v>0</v>
      </c>
      <c r="E95" s="46" t="s">
        <v>71</v>
      </c>
      <c r="F95" s="32" t="s">
        <v>63</v>
      </c>
      <c r="G95" s="32" t="s">
        <v>64</v>
      </c>
      <c r="H95" s="32" t="s">
        <v>65</v>
      </c>
      <c r="I95" s="46" t="s">
        <v>73</v>
      </c>
      <c r="J95" s="46" t="s">
        <v>76</v>
      </c>
      <c r="K95" s="58" t="s">
        <v>63</v>
      </c>
      <c r="L95" s="58" t="s">
        <v>64</v>
      </c>
      <c r="M95" s="58" t="s">
        <v>65</v>
      </c>
      <c r="N95" s="59" t="s">
        <v>54</v>
      </c>
      <c r="O95" s="59" t="s">
        <v>77</v>
      </c>
      <c r="P95" s="21" t="s">
        <v>78</v>
      </c>
      <c r="Q95" s="21" t="s">
        <v>79</v>
      </c>
      <c r="R95" s="33" t="s">
        <v>74</v>
      </c>
      <c r="S95" s="33" t="s">
        <v>75</v>
      </c>
      <c r="T95" t="s">
        <v>24</v>
      </c>
      <c r="U95" t="s">
        <v>56</v>
      </c>
      <c r="V95" t="s">
        <v>54</v>
      </c>
      <c r="W95" t="s">
        <v>55</v>
      </c>
      <c r="X95" s="63">
        <f>+B115</f>
        <v>388.73345972401484</v>
      </c>
      <c r="Y95" s="63">
        <f>+B114</f>
        <v>376.42598788774444</v>
      </c>
      <c r="AA95" t="str">
        <f t="shared" ref="AA95:AA106" si="0">+CONCATENATE(X95,Y95)</f>
        <v>388.733459724015376.425987887744</v>
      </c>
    </row>
    <row r="96" spans="1:27" x14ac:dyDescent="0.25">
      <c r="B96" s="67" t="s">
        <v>70</v>
      </c>
      <c r="C96" s="15">
        <v>4250</v>
      </c>
      <c r="D96" s="16">
        <f>+C96-$C$95</f>
        <v>5</v>
      </c>
      <c r="E96" s="17">
        <f>+((D96/$C$6)^2*$E$17)</f>
        <v>7.9577471545947687E-2</v>
      </c>
      <c r="F96" s="20">
        <f>+INT(E96)</f>
        <v>0</v>
      </c>
      <c r="G96" s="18">
        <f>+INT((E96-F96)*60)</f>
        <v>4</v>
      </c>
      <c r="H96" s="19">
        <f>+(E96-(F96+G96/60))*3600</f>
        <v>46.478897565411678</v>
      </c>
      <c r="I96" s="17">
        <f>+E96*PI()/180</f>
        <v>1.3888888888888892E-3</v>
      </c>
      <c r="J96">
        <f>+$J$92+E96</f>
        <v>42.079577471545946</v>
      </c>
      <c r="K96" s="53">
        <f>+INT(J96)</f>
        <v>42</v>
      </c>
      <c r="L96" s="54">
        <f>+INT((J96-K96)*60)</f>
        <v>4</v>
      </c>
      <c r="M96" s="55">
        <f>+(J96-(K96+L96/60))*3600</f>
        <v>46.47889756539314</v>
      </c>
      <c r="N96" s="19">
        <v>5</v>
      </c>
      <c r="O96" s="60">
        <f>+N96</f>
        <v>5</v>
      </c>
      <c r="P96" s="22">
        <f>+(O96/$C$6)^2*$E$17</f>
        <v>7.9577471545947687E-2</v>
      </c>
      <c r="Q96" s="23">
        <f>+P96*PI()/180</f>
        <v>1.3888888888888892E-3</v>
      </c>
      <c r="R96" s="23">
        <f>+O96*(1-Q96^2/10+Q96^4/216-Q96^6/9360)</f>
        <v>4.9999990354939134</v>
      </c>
      <c r="S96" s="23">
        <f>+O96*(Q96/3-(Q96^3)/42+(Q96^5)/1320-(Q96^7)/75600)</f>
        <v>2.3148144958643809E-3</v>
      </c>
      <c r="T96" s="23">
        <f>+ATAN(S96/R96)</f>
        <v>4.6296295540265562E-4</v>
      </c>
      <c r="U96" s="23">
        <f>+T96*180/PI()</f>
        <v>2.6525823415475522E-2</v>
      </c>
      <c r="V96" s="23">
        <f>+SQRT(R96^2+S96^2)</f>
        <v>4.9999995713306031</v>
      </c>
      <c r="W96" s="19">
        <f>+$J$92+U96</f>
        <v>42.026525823415476</v>
      </c>
      <c r="X96" s="12">
        <f t="shared" ref="X96:X106" si="1">+$X$95+V96*SIN(RADIANS(W96))</f>
        <v>392.08083235284312</v>
      </c>
      <c r="Y96" s="12">
        <f t="shared" ref="Y96:Y106" si="2">+$Y$95+V96*COS(RADIANS(W96))</f>
        <v>380.14016238513648</v>
      </c>
      <c r="AA96" t="str">
        <f t="shared" si="0"/>
        <v>392.080832352843380.140162385136</v>
      </c>
    </row>
    <row r="97" spans="1:27" x14ac:dyDescent="0.25">
      <c r="B97" s="67"/>
      <c r="C97" s="15">
        <f>+C96+$F$5</f>
        <v>4260</v>
      </c>
      <c r="D97" s="16">
        <f t="shared" ref="D97:D106" si="3">+C97-$C$95</f>
        <v>15</v>
      </c>
      <c r="E97" s="17">
        <f t="shared" ref="E97:E105" si="4">+((D97/$C$6)^2*$E$17)</f>
        <v>0.71619724391352901</v>
      </c>
      <c r="F97" s="20">
        <f t="shared" ref="F97:F106" si="5">+INT(E97)</f>
        <v>0</v>
      </c>
      <c r="G97" s="18">
        <f t="shared" ref="G97:G106" si="6">+INT((E97-F97)*60)</f>
        <v>42</v>
      </c>
      <c r="H97" s="19">
        <f t="shared" ref="H97:H106" si="7">+(E97-(F97+G97/60))*3600</f>
        <v>58.310078088704607</v>
      </c>
      <c r="I97" s="17">
        <f t="shared" ref="I97:I106" si="8">+E97*PI()/180</f>
        <v>1.2500000000000001E-2</v>
      </c>
      <c r="J97">
        <f t="shared" ref="J97:J106" si="9">+$J$92+E97</f>
        <v>42.716197243913527</v>
      </c>
      <c r="K97" s="53">
        <f t="shared" ref="K97:K106" si="10">+INT(J97)</f>
        <v>42</v>
      </c>
      <c r="L97" s="54">
        <f t="shared" ref="L97:L106" si="11">+INT((J97-K97)*60)</f>
        <v>42</v>
      </c>
      <c r="M97" s="55">
        <f t="shared" ref="M97:M106" si="12">+(J97-(K97+L97/60))*3600</f>
        <v>58.310078088686623</v>
      </c>
      <c r="N97" s="19">
        <f t="shared" ref="N97:N106" si="13">+C97-C96</f>
        <v>10</v>
      </c>
      <c r="O97" s="19">
        <f>+O96+N97</f>
        <v>15</v>
      </c>
      <c r="P97" s="22">
        <f t="shared" ref="P97:P106" si="14">+(O97/$C$6)^2*$E$17</f>
        <v>0.71619724391352901</v>
      </c>
      <c r="Q97" s="23">
        <f t="shared" ref="Q97:Q106" si="15">+P97*PI()/180</f>
        <v>1.2500000000000001E-2</v>
      </c>
      <c r="R97" s="23">
        <f t="shared" ref="R97:R106" si="16">+O97*(1-Q97^2/10+Q97^4/216-Q97^6/9360)</f>
        <v>14.999765626695414</v>
      </c>
      <c r="S97" s="23">
        <f t="shared" ref="S97:S106" si="17">+O97*(Q97/3-(Q97^3)/42+(Q97^5)/1320-(Q97^7)/75600)</f>
        <v>6.2499302458825033E-2</v>
      </c>
      <c r="T97" s="23">
        <f t="shared" ref="T97:T106" si="18">+ATAN(S97/R97)</f>
        <v>4.1666611551819449E-3</v>
      </c>
      <c r="U97" s="23">
        <f t="shared" ref="U97:U106" si="19">+T97*180/PI()</f>
        <v>0.2387320988530296</v>
      </c>
      <c r="V97" s="23">
        <f t="shared" ref="V97:V106" si="20">+SQRT(R97^2+S97^2)</f>
        <v>14.999895833591683</v>
      </c>
      <c r="W97" s="19">
        <f t="shared" ref="W97:W106" si="21">+$J$92+U97</f>
        <v>42.238732098853028</v>
      </c>
      <c r="X97" s="12">
        <f t="shared" si="1"/>
        <v>398.81670802626451</v>
      </c>
      <c r="Y97" s="12">
        <f t="shared" si="2"/>
        <v>387.53116590044556</v>
      </c>
      <c r="AA97" t="str">
        <f t="shared" si="0"/>
        <v>398.816708026265387.531165900446</v>
      </c>
    </row>
    <row r="98" spans="1:27" x14ac:dyDescent="0.25">
      <c r="B98" s="67"/>
      <c r="C98" s="15">
        <f t="shared" ref="C98:C105" si="22">+C97+$F$5</f>
        <v>4270</v>
      </c>
      <c r="D98" s="16">
        <f t="shared" si="3"/>
        <v>25</v>
      </c>
      <c r="E98" s="17">
        <f t="shared" si="4"/>
        <v>1.9894367886486919</v>
      </c>
      <c r="F98" s="20">
        <f t="shared" si="5"/>
        <v>1</v>
      </c>
      <c r="G98" s="18">
        <f t="shared" si="6"/>
        <v>59</v>
      </c>
      <c r="H98" s="19">
        <f t="shared" si="7"/>
        <v>21.972439135290589</v>
      </c>
      <c r="I98" s="17">
        <f t="shared" si="8"/>
        <v>3.4722222222222224E-2</v>
      </c>
      <c r="J98">
        <f t="shared" si="9"/>
        <v>43.989436788648689</v>
      </c>
      <c r="K98" s="53">
        <f t="shared" si="10"/>
        <v>43</v>
      </c>
      <c r="L98" s="54">
        <f t="shared" si="11"/>
        <v>59</v>
      </c>
      <c r="M98" s="55">
        <f t="shared" si="12"/>
        <v>21.972439135277</v>
      </c>
      <c r="N98" s="19">
        <f t="shared" si="13"/>
        <v>10</v>
      </c>
      <c r="O98" s="19">
        <f t="shared" ref="O98:O106" si="23">+O97+N98</f>
        <v>25</v>
      </c>
      <c r="P98" s="22">
        <f t="shared" si="14"/>
        <v>1.9894367886486919</v>
      </c>
      <c r="Q98" s="23">
        <f t="shared" si="15"/>
        <v>3.4722222222222224E-2</v>
      </c>
      <c r="R98" s="23">
        <f t="shared" si="16"/>
        <v>24.996986086440177</v>
      </c>
      <c r="S98" s="23">
        <f t="shared" si="17"/>
        <v>0.28932693480349508</v>
      </c>
      <c r="T98" s="23">
        <f t="shared" si="18"/>
        <v>1.1573955940823579E-2</v>
      </c>
      <c r="U98" s="23">
        <f t="shared" si="19"/>
        <v>0.66313882767955712</v>
      </c>
      <c r="V98" s="23">
        <f t="shared" si="20"/>
        <v>24.998660433728976</v>
      </c>
      <c r="W98" s="19">
        <f t="shared" si="21"/>
        <v>42.66313882767956</v>
      </c>
      <c r="X98" s="12">
        <f t="shared" si="1"/>
        <v>405.67471999564896</v>
      </c>
      <c r="Y98" s="12">
        <f t="shared" si="2"/>
        <v>394.80877124309188</v>
      </c>
      <c r="AA98" t="str">
        <f t="shared" si="0"/>
        <v>405.674719995649394.808771243092</v>
      </c>
    </row>
    <row r="99" spans="1:27" x14ac:dyDescent="0.25">
      <c r="B99" s="67"/>
      <c r="C99" s="15">
        <f t="shared" si="22"/>
        <v>4280</v>
      </c>
      <c r="D99" s="16">
        <f t="shared" si="3"/>
        <v>35</v>
      </c>
      <c r="E99" s="17">
        <f t="shared" si="4"/>
        <v>3.8992961057514357</v>
      </c>
      <c r="F99" s="20">
        <f t="shared" si="5"/>
        <v>3</v>
      </c>
      <c r="G99" s="18">
        <f t="shared" si="6"/>
        <v>53</v>
      </c>
      <c r="H99" s="19">
        <f t="shared" si="7"/>
        <v>57.46598070516864</v>
      </c>
      <c r="I99" s="17">
        <f t="shared" si="8"/>
        <v>6.805555555555555E-2</v>
      </c>
      <c r="J99">
        <f t="shared" si="9"/>
        <v>45.899296105751432</v>
      </c>
      <c r="K99" s="53">
        <f t="shared" si="10"/>
        <v>45</v>
      </c>
      <c r="L99" s="54">
        <f t="shared" si="11"/>
        <v>53</v>
      </c>
      <c r="M99" s="55">
        <f t="shared" si="12"/>
        <v>57.465980705157449</v>
      </c>
      <c r="N99" s="19">
        <f t="shared" si="13"/>
        <v>10</v>
      </c>
      <c r="O99" s="19">
        <f t="shared" si="23"/>
        <v>35</v>
      </c>
      <c r="P99" s="22">
        <f t="shared" si="14"/>
        <v>3.8992961057514357</v>
      </c>
      <c r="Q99" s="23">
        <f t="shared" si="15"/>
        <v>6.805555555555555E-2</v>
      </c>
      <c r="R99" s="23">
        <f t="shared" si="16"/>
        <v>34.98379302029241</v>
      </c>
      <c r="S99" s="23">
        <f t="shared" si="17"/>
        <v>0.79371885077363491</v>
      </c>
      <c r="T99" s="23">
        <f t="shared" si="18"/>
        <v>2.2684295622740769E-2</v>
      </c>
      <c r="U99" s="23">
        <f t="shared" si="19"/>
        <v>1.2997144004101338</v>
      </c>
      <c r="V99" s="23">
        <f t="shared" si="20"/>
        <v>34.992795882877566</v>
      </c>
      <c r="W99" s="19">
        <f t="shared" si="21"/>
        <v>43.299714400410132</v>
      </c>
      <c r="X99" s="12">
        <f t="shared" si="1"/>
        <v>412.73203441725218</v>
      </c>
      <c r="Y99" s="12">
        <f t="shared" si="2"/>
        <v>401.89291107045028</v>
      </c>
      <c r="AA99" t="str">
        <f t="shared" si="0"/>
        <v>412.732034417252401.89291107045</v>
      </c>
    </row>
    <row r="100" spans="1:27" x14ac:dyDescent="0.25">
      <c r="B100" s="67"/>
      <c r="C100" s="15">
        <f t="shared" si="22"/>
        <v>4290</v>
      </c>
      <c r="D100" s="16">
        <f t="shared" si="3"/>
        <v>45</v>
      </c>
      <c r="E100" s="17">
        <f t="shared" si="4"/>
        <v>6.4457751952217626</v>
      </c>
      <c r="F100" s="20">
        <f t="shared" si="5"/>
        <v>6</v>
      </c>
      <c r="G100" s="18">
        <f t="shared" si="6"/>
        <v>26</v>
      </c>
      <c r="H100" s="19">
        <f t="shared" si="7"/>
        <v>44.790702798344384</v>
      </c>
      <c r="I100" s="17">
        <f t="shared" si="8"/>
        <v>0.11250000000000002</v>
      </c>
      <c r="J100">
        <f t="shared" si="9"/>
        <v>48.445775195221763</v>
      </c>
      <c r="K100" s="53">
        <f t="shared" si="10"/>
        <v>48</v>
      </c>
      <c r="L100" s="54">
        <f t="shared" si="11"/>
        <v>26</v>
      </c>
      <c r="M100" s="55">
        <f t="shared" si="12"/>
        <v>44.790702798360371</v>
      </c>
      <c r="N100" s="19">
        <f t="shared" si="13"/>
        <v>10</v>
      </c>
      <c r="O100" s="19">
        <f t="shared" si="23"/>
        <v>45</v>
      </c>
      <c r="P100" s="22">
        <f t="shared" si="14"/>
        <v>6.4457751952217626</v>
      </c>
      <c r="Q100" s="23">
        <f t="shared" si="15"/>
        <v>0.11250000000000002</v>
      </c>
      <c r="R100" s="23">
        <f t="shared" si="16"/>
        <v>44.943080236225107</v>
      </c>
      <c r="S100" s="23">
        <f t="shared" si="17"/>
        <v>1.6859750840595673</v>
      </c>
      <c r="T100" s="23">
        <f t="shared" si="18"/>
        <v>3.7495980909755915E-2</v>
      </c>
      <c r="U100" s="23">
        <f t="shared" si="19"/>
        <v>2.148361454832119</v>
      </c>
      <c r="V100" s="23">
        <f t="shared" si="20"/>
        <v>44.974692584873083</v>
      </c>
      <c r="W100" s="19">
        <f t="shared" si="21"/>
        <v>44.14836145483212</v>
      </c>
      <c r="X100" s="12">
        <f t="shared" si="1"/>
        <v>420.05917391371764</v>
      </c>
      <c r="Y100" s="12">
        <f t="shared" si="2"/>
        <v>408.69706787600779</v>
      </c>
      <c r="AA100" t="str">
        <f t="shared" si="0"/>
        <v>420.059173913718408.697067876008</v>
      </c>
    </row>
    <row r="101" spans="1:27" x14ac:dyDescent="0.25">
      <c r="B101" s="67"/>
      <c r="C101" s="15">
        <f t="shared" si="22"/>
        <v>4300</v>
      </c>
      <c r="D101" s="16">
        <f t="shared" si="3"/>
        <v>55</v>
      </c>
      <c r="E101" s="17">
        <f t="shared" si="4"/>
        <v>9.6288740570596705</v>
      </c>
      <c r="F101" s="20">
        <f t="shared" si="5"/>
        <v>9</v>
      </c>
      <c r="G101" s="18">
        <f t="shared" si="6"/>
        <v>37</v>
      </c>
      <c r="H101" s="19">
        <f t="shared" si="7"/>
        <v>43.946605414812012</v>
      </c>
      <c r="I101" s="17">
        <f t="shared" si="8"/>
        <v>0.1680555555555556</v>
      </c>
      <c r="J101">
        <f t="shared" si="9"/>
        <v>51.628874057059669</v>
      </c>
      <c r="K101" s="53">
        <f t="shared" si="10"/>
        <v>51</v>
      </c>
      <c r="L101" s="54">
        <f t="shared" si="11"/>
        <v>37</v>
      </c>
      <c r="M101" s="55">
        <f t="shared" si="12"/>
        <v>43.946605414805617</v>
      </c>
      <c r="N101" s="19">
        <f t="shared" si="13"/>
        <v>10</v>
      </c>
      <c r="O101" s="19">
        <f t="shared" si="23"/>
        <v>55</v>
      </c>
      <c r="P101" s="22">
        <f t="shared" si="14"/>
        <v>9.6288740570596705</v>
      </c>
      <c r="Q101" s="23">
        <f t="shared" si="15"/>
        <v>0.1680555555555556</v>
      </c>
      <c r="R101" s="23">
        <f t="shared" si="16"/>
        <v>54.84486828889893</v>
      </c>
      <c r="S101" s="23">
        <f t="shared" si="17"/>
        <v>3.0748086591121311</v>
      </c>
      <c r="T101" s="23">
        <f t="shared" si="18"/>
        <v>5.6005115797433627E-2</v>
      </c>
      <c r="U101" s="23">
        <f t="shared" si="19"/>
        <v>3.2088567663344008</v>
      </c>
      <c r="V101" s="23">
        <f t="shared" si="20"/>
        <v>54.93099330903113</v>
      </c>
      <c r="W101" s="19">
        <f t="shared" si="21"/>
        <v>45.208856766334399</v>
      </c>
      <c r="X101" s="12">
        <f t="shared" si="1"/>
        <v>427.71686784218974</v>
      </c>
      <c r="Y101" s="12">
        <f t="shared" si="2"/>
        <v>415.12621937811974</v>
      </c>
      <c r="AA101" t="str">
        <f t="shared" si="0"/>
        <v>427.71686784219415.12621937812</v>
      </c>
    </row>
    <row r="102" spans="1:27" x14ac:dyDescent="0.25">
      <c r="B102" s="67"/>
      <c r="C102" s="15">
        <f t="shared" si="22"/>
        <v>4310</v>
      </c>
      <c r="D102" s="16">
        <f t="shared" si="3"/>
        <v>65</v>
      </c>
      <c r="E102" s="17">
        <f t="shared" si="4"/>
        <v>13.448592691265159</v>
      </c>
      <c r="F102" s="20">
        <f t="shared" si="5"/>
        <v>13</v>
      </c>
      <c r="G102" s="18">
        <f t="shared" si="6"/>
        <v>26</v>
      </c>
      <c r="H102" s="19">
        <f t="shared" si="7"/>
        <v>54.933688554569926</v>
      </c>
      <c r="I102" s="17">
        <f t="shared" si="8"/>
        <v>0.23472222222222225</v>
      </c>
      <c r="J102">
        <f t="shared" si="9"/>
        <v>55.448592691265162</v>
      </c>
      <c r="K102" s="53">
        <f t="shared" si="10"/>
        <v>55</v>
      </c>
      <c r="L102" s="54">
        <f t="shared" si="11"/>
        <v>26</v>
      </c>
      <c r="M102" s="55">
        <f t="shared" si="12"/>
        <v>54.933688554595506</v>
      </c>
      <c r="N102" s="19">
        <f t="shared" si="13"/>
        <v>10</v>
      </c>
      <c r="O102" s="19">
        <f t="shared" si="23"/>
        <v>65</v>
      </c>
      <c r="P102" s="22">
        <f t="shared" si="14"/>
        <v>13.448592691265159</v>
      </c>
      <c r="Q102" s="23">
        <f t="shared" si="15"/>
        <v>0.23472222222222225</v>
      </c>
      <c r="R102" s="23">
        <f t="shared" si="16"/>
        <v>64.642797880673555</v>
      </c>
      <c r="S102" s="23">
        <f t="shared" si="17"/>
        <v>5.0656695305247492</v>
      </c>
      <c r="T102" s="23">
        <f t="shared" si="18"/>
        <v>7.8204199783111966E-2</v>
      </c>
      <c r="U102" s="23">
        <f t="shared" si="19"/>
        <v>4.4807705877702242</v>
      </c>
      <c r="V102" s="23">
        <f t="shared" si="20"/>
        <v>64.84097721066594</v>
      </c>
      <c r="W102" s="19">
        <f t="shared" si="21"/>
        <v>46.480770587770223</v>
      </c>
      <c r="X102" s="12">
        <f t="shared" si="1"/>
        <v>435.75246036583104</v>
      </c>
      <c r="Y102" s="12">
        <f t="shared" si="2"/>
        <v>421.07535411257442</v>
      </c>
      <c r="AA102" t="str">
        <f t="shared" si="0"/>
        <v>435.752460365831421.075354112574</v>
      </c>
    </row>
    <row r="103" spans="1:27" x14ac:dyDescent="0.25">
      <c r="B103" s="67"/>
      <c r="C103" s="15">
        <f t="shared" si="22"/>
        <v>4320</v>
      </c>
      <c r="D103" s="16">
        <f>+C103-$C$95</f>
        <v>75</v>
      </c>
      <c r="E103" s="17">
        <f t="shared" si="4"/>
        <v>17.904931097838226</v>
      </c>
      <c r="F103" s="20">
        <f t="shared" si="5"/>
        <v>17</v>
      </c>
      <c r="G103" s="18">
        <f t="shared" si="6"/>
        <v>54</v>
      </c>
      <c r="H103" s="19">
        <f t="shared" si="7"/>
        <v>17.751952217618339</v>
      </c>
      <c r="I103" s="17">
        <f t="shared" si="8"/>
        <v>0.3125</v>
      </c>
      <c r="J103">
        <f t="shared" si="9"/>
        <v>59.904931097838229</v>
      </c>
      <c r="K103" s="53">
        <f t="shared" si="10"/>
        <v>59</v>
      </c>
      <c r="L103" s="54">
        <f t="shared" si="11"/>
        <v>54</v>
      </c>
      <c r="M103" s="55">
        <f t="shared" si="12"/>
        <v>17.751952217631128</v>
      </c>
      <c r="N103" s="19">
        <f t="shared" si="13"/>
        <v>10</v>
      </c>
      <c r="O103" s="19">
        <f t="shared" si="23"/>
        <v>75</v>
      </c>
      <c r="P103" s="22">
        <f t="shared" si="14"/>
        <v>17.904931097838226</v>
      </c>
      <c r="Q103" s="23">
        <f t="shared" si="15"/>
        <v>0.3125</v>
      </c>
      <c r="R103" s="23">
        <f t="shared" si="16"/>
        <v>74.270882031633562</v>
      </c>
      <c r="S103" s="23">
        <f t="shared" si="17"/>
        <v>7.7581733674255124</v>
      </c>
      <c r="T103" s="23">
        <f t="shared" si="18"/>
        <v>0.10408034573112603</v>
      </c>
      <c r="U103" s="23">
        <f t="shared" si="19"/>
        <v>5.9633645406559754</v>
      </c>
      <c r="V103" s="23">
        <f t="shared" si="20"/>
        <v>74.674983573857318</v>
      </c>
      <c r="W103" s="19">
        <f t="shared" si="21"/>
        <v>47.963364540655974</v>
      </c>
      <c r="X103" s="12">
        <f t="shared" si="1"/>
        <v>444.19582644580782</v>
      </c>
      <c r="Y103" s="12">
        <f t="shared" si="2"/>
        <v>426.42877830361232</v>
      </c>
      <c r="AA103" t="str">
        <f t="shared" si="0"/>
        <v>444.195826445808426.428778303612</v>
      </c>
    </row>
    <row r="104" spans="1:27" x14ac:dyDescent="0.25">
      <c r="B104" s="67"/>
      <c r="C104" s="15">
        <f t="shared" si="22"/>
        <v>4330</v>
      </c>
      <c r="D104" s="16">
        <f t="shared" si="3"/>
        <v>85</v>
      </c>
      <c r="E104" s="17">
        <f t="shared" si="4"/>
        <v>22.997889276778874</v>
      </c>
      <c r="F104" s="20">
        <f t="shared" si="5"/>
        <v>22</v>
      </c>
      <c r="G104" s="18">
        <f t="shared" si="6"/>
        <v>59</v>
      </c>
      <c r="H104" s="19">
        <f t="shared" si="7"/>
        <v>52.401396403944034</v>
      </c>
      <c r="I104" s="17">
        <f t="shared" si="8"/>
        <v>0.4013888888888888</v>
      </c>
      <c r="J104">
        <f t="shared" si="9"/>
        <v>64.997889276778878</v>
      </c>
      <c r="K104" s="53">
        <f t="shared" si="10"/>
        <v>64</v>
      </c>
      <c r="L104" s="54">
        <f t="shared" si="11"/>
        <v>59</v>
      </c>
      <c r="M104" s="55">
        <f t="shared" si="12"/>
        <v>52.401396403956824</v>
      </c>
      <c r="N104" s="19">
        <f t="shared" si="13"/>
        <v>10</v>
      </c>
      <c r="O104" s="19">
        <f t="shared" si="23"/>
        <v>85</v>
      </c>
      <c r="P104" s="22">
        <f t="shared" si="14"/>
        <v>22.997889276778874</v>
      </c>
      <c r="Q104" s="23">
        <f t="shared" si="15"/>
        <v>0.4013888888888888</v>
      </c>
      <c r="R104" s="23">
        <f t="shared" si="16"/>
        <v>83.640715902878512</v>
      </c>
      <c r="S104" s="23">
        <f t="shared" si="17"/>
        <v>11.242476513312623</v>
      </c>
      <c r="T104" s="23">
        <f t="shared" si="18"/>
        <v>0.13361309361398466</v>
      </c>
      <c r="U104" s="23">
        <f t="shared" si="19"/>
        <v>7.6554663517676929</v>
      </c>
      <c r="V104" s="23">
        <f t="shared" si="20"/>
        <v>84.392906306741338</v>
      </c>
      <c r="W104" s="19">
        <f t="shared" si="21"/>
        <v>49.655466351767693</v>
      </c>
      <c r="X104" s="12">
        <f t="shared" si="1"/>
        <v>453.05481091881637</v>
      </c>
      <c r="Y104" s="12">
        <f t="shared" si="2"/>
        <v>431.06046798386529</v>
      </c>
      <c r="AA104" t="str">
        <f t="shared" si="0"/>
        <v>453.054810918816431.060467983865</v>
      </c>
    </row>
    <row r="105" spans="1:27" x14ac:dyDescent="0.25">
      <c r="B105" s="67"/>
      <c r="C105" s="15">
        <f t="shared" si="22"/>
        <v>4340</v>
      </c>
      <c r="D105" s="16">
        <f t="shared" si="3"/>
        <v>95</v>
      </c>
      <c r="E105" s="17">
        <f t="shared" si="4"/>
        <v>28.727467228087111</v>
      </c>
      <c r="F105" s="20">
        <f t="shared" si="5"/>
        <v>28</v>
      </c>
      <c r="G105" s="18">
        <f t="shared" si="6"/>
        <v>43</v>
      </c>
      <c r="H105" s="19">
        <f t="shared" si="7"/>
        <v>38.882021113604992</v>
      </c>
      <c r="I105" s="17">
        <f t="shared" si="8"/>
        <v>0.50138888888888888</v>
      </c>
      <c r="J105">
        <f t="shared" si="9"/>
        <v>70.727467228087107</v>
      </c>
      <c r="K105" s="53">
        <f t="shared" si="10"/>
        <v>70</v>
      </c>
      <c r="L105" s="54">
        <f t="shared" si="11"/>
        <v>43</v>
      </c>
      <c r="M105" s="55">
        <f t="shared" si="12"/>
        <v>38.882021113579412</v>
      </c>
      <c r="N105" s="19">
        <f t="shared" si="13"/>
        <v>10</v>
      </c>
      <c r="O105" s="19">
        <f t="shared" si="23"/>
        <v>95</v>
      </c>
      <c r="P105" s="22">
        <f t="shared" si="14"/>
        <v>28.727467228087111</v>
      </c>
      <c r="Q105" s="23">
        <f t="shared" si="15"/>
        <v>0.50138888888888888</v>
      </c>
      <c r="R105" s="23">
        <f t="shared" si="16"/>
        <v>92.639421109175942</v>
      </c>
      <c r="S105" s="23">
        <f t="shared" si="17"/>
        <v>15.594484471973434</v>
      </c>
      <c r="T105" s="23">
        <f t="shared" si="18"/>
        <v>0.16677176907423227</v>
      </c>
      <c r="U105" s="23">
        <f t="shared" si="19"/>
        <v>9.5553185098838931</v>
      </c>
      <c r="V105" s="23">
        <f t="shared" si="20"/>
        <v>93.942803286839663</v>
      </c>
      <c r="W105" s="19">
        <f t="shared" si="21"/>
        <v>51.55531850988389</v>
      </c>
      <c r="X105" s="12">
        <f t="shared" si="1"/>
        <v>462.31029218486594</v>
      </c>
      <c r="Y105" s="12">
        <f t="shared" si="2"/>
        <v>434.83574746966445</v>
      </c>
      <c r="AA105" t="str">
        <f t="shared" si="0"/>
        <v>462.310292184866434.835747469664</v>
      </c>
    </row>
    <row r="106" spans="1:27" ht="26.25" x14ac:dyDescent="0.4">
      <c r="B106" s="37" t="s">
        <v>69</v>
      </c>
      <c r="C106" s="15">
        <f>+C105+5</f>
        <v>4345</v>
      </c>
      <c r="D106" s="16">
        <f t="shared" si="3"/>
        <v>100</v>
      </c>
      <c r="E106" s="17">
        <f>+((D106/$C$6)^2*$E$17)</f>
        <v>31.83098861837907</v>
      </c>
      <c r="F106" s="53">
        <f t="shared" si="5"/>
        <v>31</v>
      </c>
      <c r="G106" s="54">
        <f t="shared" si="6"/>
        <v>49</v>
      </c>
      <c r="H106" s="55">
        <f t="shared" si="7"/>
        <v>51.559026164653687</v>
      </c>
      <c r="I106" s="17">
        <f t="shared" si="8"/>
        <v>0.55555555555555558</v>
      </c>
      <c r="J106">
        <f t="shared" si="9"/>
        <v>73.830988618379067</v>
      </c>
      <c r="K106" s="53">
        <f t="shared" si="10"/>
        <v>73</v>
      </c>
      <c r="L106" s="54">
        <f t="shared" si="11"/>
        <v>49</v>
      </c>
      <c r="M106" s="55">
        <f t="shared" si="12"/>
        <v>51.559026164653687</v>
      </c>
      <c r="N106" s="19">
        <f t="shared" si="13"/>
        <v>5</v>
      </c>
      <c r="O106" s="19">
        <f t="shared" si="23"/>
        <v>100</v>
      </c>
      <c r="P106" s="22">
        <f t="shared" si="14"/>
        <v>31.83098861837907</v>
      </c>
      <c r="Q106" s="23">
        <f t="shared" si="15"/>
        <v>0.55555555555555558</v>
      </c>
      <c r="R106" s="23">
        <f t="shared" si="16"/>
        <v>96.957367922759659</v>
      </c>
      <c r="S106" s="23">
        <f t="shared" si="17"/>
        <v>18.114249585349182</v>
      </c>
      <c r="T106" s="23">
        <f t="shared" si="18"/>
        <v>0.18469768166848574</v>
      </c>
      <c r="U106" s="23">
        <f t="shared" si="19"/>
        <v>10.582397645455025</v>
      </c>
      <c r="V106" s="23">
        <f t="shared" si="20"/>
        <v>98.634969623099224</v>
      </c>
      <c r="W106" s="19">
        <f t="shared" si="21"/>
        <v>52.582397645455025</v>
      </c>
      <c r="X106" s="12">
        <f t="shared" si="1"/>
        <v>467.07211295988816</v>
      </c>
      <c r="Y106" s="12">
        <f t="shared" si="2"/>
        <v>436.3585553426708</v>
      </c>
      <c r="AA106" t="str">
        <f t="shared" si="0"/>
        <v>467.072112959888436.358555342671</v>
      </c>
    </row>
    <row r="107" spans="1:27" x14ac:dyDescent="0.25">
      <c r="F107" s="68" t="s">
        <v>72</v>
      </c>
      <c r="G107" s="68"/>
      <c r="H107" s="68"/>
    </row>
    <row r="108" spans="1:27" ht="28.5" x14ac:dyDescent="0.45">
      <c r="A108" s="56" t="s">
        <v>52</v>
      </c>
      <c r="B108" s="56">
        <v>500</v>
      </c>
      <c r="C108" s="56"/>
      <c r="D108" s="56"/>
    </row>
    <row r="109" spans="1:27" ht="28.5" x14ac:dyDescent="0.45">
      <c r="A109" s="56" t="s">
        <v>53</v>
      </c>
      <c r="B109" s="56">
        <v>500</v>
      </c>
      <c r="C109" s="56"/>
      <c r="D109" s="56"/>
      <c r="U109" s="11">
        <f>+U106</f>
        <v>10.582397645455025</v>
      </c>
      <c r="V109" s="20">
        <f>+INT(U109)</f>
        <v>10</v>
      </c>
      <c r="W109" s="24">
        <f>+INT((U109-V109)*60)</f>
        <v>34</v>
      </c>
      <c r="X109" s="25">
        <f>+(U109-(V109+W109/60))*3600</f>
        <v>56.631523638090187</v>
      </c>
    </row>
    <row r="110" spans="1:27" ht="28.5" x14ac:dyDescent="0.45">
      <c r="A110" s="56" t="s">
        <v>46</v>
      </c>
      <c r="B110" s="56"/>
      <c r="C110" s="56"/>
      <c r="D110" s="56"/>
    </row>
    <row r="111" spans="1:27" ht="28.5" x14ac:dyDescent="0.45">
      <c r="A111" s="56" t="s">
        <v>47</v>
      </c>
      <c r="B111" s="56"/>
      <c r="C111" s="56">
        <v>42</v>
      </c>
      <c r="D111" s="56"/>
    </row>
    <row r="112" spans="1:27" ht="28.5" x14ac:dyDescent="0.45">
      <c r="A112" s="56" t="s">
        <v>48</v>
      </c>
      <c r="B112" s="56"/>
      <c r="C112" s="56">
        <f>+C111+180</f>
        <v>222</v>
      </c>
      <c r="D112" s="56"/>
      <c r="E112">
        <f>42+180</f>
        <v>222</v>
      </c>
    </row>
    <row r="113" spans="1:4" ht="28.5" x14ac:dyDescent="0.45">
      <c r="A113" s="56" t="s">
        <v>49</v>
      </c>
      <c r="B113" s="56"/>
      <c r="C113" s="61">
        <f>+D52</f>
        <v>166.28523522702582</v>
      </c>
      <c r="D113" s="56"/>
    </row>
    <row r="114" spans="1:4" ht="28.5" x14ac:dyDescent="0.45">
      <c r="A114" s="56" t="s">
        <v>50</v>
      </c>
      <c r="B114" s="65">
        <f>+B108+C113*COS(RADIANS(C112))</f>
        <v>376.42598788774444</v>
      </c>
      <c r="C114" s="56"/>
      <c r="D114" s="56"/>
    </row>
    <row r="115" spans="1:4" ht="28.5" x14ac:dyDescent="0.45">
      <c r="A115" s="56" t="s">
        <v>51</v>
      </c>
      <c r="B115" s="65">
        <f>+$B$109+C113*SIN(RADIANS(C112))</f>
        <v>388.73345972401484</v>
      </c>
      <c r="C115" s="56"/>
      <c r="D115" s="56"/>
    </row>
  </sheetData>
  <mergeCells count="2">
    <mergeCell ref="B96:B105"/>
    <mergeCell ref="F107:H10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43BB-B1BC-4E3C-85B1-EB41E8A583AC}">
  <dimension ref="A1:Q1396"/>
  <sheetViews>
    <sheetView tabSelected="1" workbookViewId="0">
      <selection activeCell="Q1" sqref="Q1:Q999"/>
    </sheetView>
  </sheetViews>
  <sheetFormatPr baseColWidth="10" defaultRowHeight="15" x14ac:dyDescent="0.25"/>
  <cols>
    <col min="7" max="8" width="5.140625" customWidth="1"/>
    <col min="9" max="9" width="5.85546875" customWidth="1"/>
    <col min="11" max="13" width="4.28515625" customWidth="1"/>
    <col min="14" max="14" width="3.28515625" customWidth="1"/>
    <col min="15" max="15" width="11.42578125" style="69"/>
  </cols>
  <sheetData>
    <row r="1" spans="1:17" x14ac:dyDescent="0.25">
      <c r="A1">
        <v>0</v>
      </c>
      <c r="B1">
        <v>0</v>
      </c>
      <c r="C1">
        <v>1</v>
      </c>
      <c r="E1">
        <v>1</v>
      </c>
      <c r="G1" t="str">
        <f>+MID(E1,1,1)</f>
        <v>1</v>
      </c>
      <c r="H1" t="str">
        <f>+MID(E1,2,1)</f>
        <v/>
      </c>
      <c r="I1" t="str">
        <f>+MID(E1,3,1)</f>
        <v/>
      </c>
      <c r="K1" t="str">
        <f>+G1</f>
        <v>1</v>
      </c>
      <c r="L1" t="str">
        <f>+H1</f>
        <v/>
      </c>
      <c r="M1" t="str">
        <f>+I1</f>
        <v/>
      </c>
      <c r="O1" s="69" t="str">
        <f>+K1</f>
        <v>1</v>
      </c>
      <c r="P1">
        <f>+O1*6</f>
        <v>6</v>
      </c>
      <c r="Q1" t="str">
        <f>+IF(P1=E1,"OK"," ")</f>
        <v xml:space="preserve"> </v>
      </c>
    </row>
    <row r="2" spans="1:17" x14ac:dyDescent="0.25">
      <c r="A2">
        <v>0</v>
      </c>
      <c r="B2">
        <v>0</v>
      </c>
      <c r="C2">
        <v>2</v>
      </c>
      <c r="E2">
        <v>2</v>
      </c>
      <c r="G2" t="str">
        <f t="shared" ref="G2:G65" si="0">+MID(E2,1,1)</f>
        <v>2</v>
      </c>
      <c r="H2" t="str">
        <f t="shared" ref="H2:H65" si="1">+MID(E2,2,1)</f>
        <v/>
      </c>
      <c r="I2" t="str">
        <f t="shared" ref="I2:I65" si="2">+MID(E2,3,1)</f>
        <v/>
      </c>
      <c r="K2" t="str">
        <f t="shared" ref="K2:K17" si="3">+G2</f>
        <v>2</v>
      </c>
      <c r="L2" t="str">
        <f t="shared" ref="L2:L17" si="4">+H2</f>
        <v/>
      </c>
      <c r="M2" t="str">
        <f t="shared" ref="M2:M17" si="5">+I2</f>
        <v/>
      </c>
      <c r="O2" s="69" t="str">
        <f t="shared" ref="O2:O10" si="6">+K2</f>
        <v>2</v>
      </c>
      <c r="P2">
        <f t="shared" ref="P2:P65" si="7">+O2*6</f>
        <v>12</v>
      </c>
      <c r="Q2" t="str">
        <f t="shared" ref="Q2:Q65" si="8">+IF(P2=E2,"OK"," ")</f>
        <v xml:space="preserve"> </v>
      </c>
    </row>
    <row r="3" spans="1:17" x14ac:dyDescent="0.25">
      <c r="A3">
        <v>0</v>
      </c>
      <c r="B3">
        <v>0</v>
      </c>
      <c r="C3">
        <v>3</v>
      </c>
      <c r="E3">
        <v>3</v>
      </c>
      <c r="G3" t="str">
        <f t="shared" si="0"/>
        <v>3</v>
      </c>
      <c r="H3" t="str">
        <f t="shared" si="1"/>
        <v/>
      </c>
      <c r="I3" t="str">
        <f t="shared" si="2"/>
        <v/>
      </c>
      <c r="K3" t="str">
        <f t="shared" si="3"/>
        <v>3</v>
      </c>
      <c r="L3" t="str">
        <f t="shared" si="4"/>
        <v/>
      </c>
      <c r="M3" t="str">
        <f t="shared" si="5"/>
        <v/>
      </c>
      <c r="O3" s="69" t="str">
        <f t="shared" si="6"/>
        <v>3</v>
      </c>
      <c r="P3">
        <f t="shared" si="7"/>
        <v>18</v>
      </c>
      <c r="Q3" t="str">
        <f t="shared" si="8"/>
        <v xml:space="preserve"> </v>
      </c>
    </row>
    <row r="4" spans="1:17" x14ac:dyDescent="0.25">
      <c r="A4">
        <v>0</v>
      </c>
      <c r="B4">
        <v>0</v>
      </c>
      <c r="C4">
        <v>4</v>
      </c>
      <c r="E4">
        <v>4</v>
      </c>
      <c r="G4" t="str">
        <f t="shared" si="0"/>
        <v>4</v>
      </c>
      <c r="H4" t="str">
        <f t="shared" si="1"/>
        <v/>
      </c>
      <c r="I4" t="str">
        <f t="shared" si="2"/>
        <v/>
      </c>
      <c r="K4" t="str">
        <f t="shared" si="3"/>
        <v>4</v>
      </c>
      <c r="L4" t="str">
        <f t="shared" si="4"/>
        <v/>
      </c>
      <c r="M4" t="str">
        <f t="shared" si="5"/>
        <v/>
      </c>
      <c r="O4" s="69" t="str">
        <f t="shared" si="6"/>
        <v>4</v>
      </c>
      <c r="P4">
        <f t="shared" si="7"/>
        <v>24</v>
      </c>
      <c r="Q4" t="str">
        <f t="shared" si="8"/>
        <v xml:space="preserve"> </v>
      </c>
    </row>
    <row r="5" spans="1:17" x14ac:dyDescent="0.25">
      <c r="A5">
        <v>0</v>
      </c>
      <c r="B5">
        <v>0</v>
      </c>
      <c r="C5">
        <v>5</v>
      </c>
      <c r="E5">
        <v>5</v>
      </c>
      <c r="G5" t="str">
        <f t="shared" si="0"/>
        <v>5</v>
      </c>
      <c r="H5" t="str">
        <f t="shared" si="1"/>
        <v/>
      </c>
      <c r="I5" t="str">
        <f t="shared" si="2"/>
        <v/>
      </c>
      <c r="K5" t="str">
        <f t="shared" si="3"/>
        <v>5</v>
      </c>
      <c r="L5" t="str">
        <f t="shared" si="4"/>
        <v/>
      </c>
      <c r="M5" t="str">
        <f t="shared" si="5"/>
        <v/>
      </c>
      <c r="O5" s="69" t="str">
        <f t="shared" si="6"/>
        <v>5</v>
      </c>
      <c r="P5">
        <f t="shared" si="7"/>
        <v>30</v>
      </c>
      <c r="Q5" t="str">
        <f t="shared" si="8"/>
        <v xml:space="preserve"> </v>
      </c>
    </row>
    <row r="6" spans="1:17" x14ac:dyDescent="0.25">
      <c r="A6">
        <v>0</v>
      </c>
      <c r="B6">
        <v>0</v>
      </c>
      <c r="C6">
        <v>6</v>
      </c>
      <c r="E6">
        <v>6</v>
      </c>
      <c r="G6" t="str">
        <f t="shared" si="0"/>
        <v>6</v>
      </c>
      <c r="H6" t="str">
        <f t="shared" si="1"/>
        <v/>
      </c>
      <c r="I6" t="str">
        <f t="shared" si="2"/>
        <v/>
      </c>
      <c r="K6" t="str">
        <f t="shared" si="3"/>
        <v>6</v>
      </c>
      <c r="L6" t="str">
        <f t="shared" si="4"/>
        <v/>
      </c>
      <c r="M6" t="str">
        <f t="shared" si="5"/>
        <v/>
      </c>
      <c r="O6" s="69" t="str">
        <f t="shared" si="6"/>
        <v>6</v>
      </c>
      <c r="P6">
        <f t="shared" si="7"/>
        <v>36</v>
      </c>
      <c r="Q6" t="str">
        <f t="shared" si="8"/>
        <v xml:space="preserve"> </v>
      </c>
    </row>
    <row r="7" spans="1:17" x14ac:dyDescent="0.25">
      <c r="A7">
        <v>0</v>
      </c>
      <c r="B7">
        <v>0</v>
      </c>
      <c r="C7">
        <v>7</v>
      </c>
      <c r="E7">
        <v>7</v>
      </c>
      <c r="G7" t="str">
        <f t="shared" si="0"/>
        <v>7</v>
      </c>
      <c r="H7" t="str">
        <f t="shared" si="1"/>
        <v/>
      </c>
      <c r="I7" t="str">
        <f t="shared" si="2"/>
        <v/>
      </c>
      <c r="K7" t="str">
        <f t="shared" si="3"/>
        <v>7</v>
      </c>
      <c r="L7" t="str">
        <f t="shared" si="4"/>
        <v/>
      </c>
      <c r="M7" t="str">
        <f t="shared" si="5"/>
        <v/>
      </c>
      <c r="O7" s="69" t="str">
        <f t="shared" si="6"/>
        <v>7</v>
      </c>
      <c r="P7">
        <f t="shared" si="7"/>
        <v>42</v>
      </c>
      <c r="Q7" t="str">
        <f t="shared" si="8"/>
        <v xml:space="preserve"> </v>
      </c>
    </row>
    <row r="8" spans="1:17" x14ac:dyDescent="0.25">
      <c r="A8">
        <v>0</v>
      </c>
      <c r="B8">
        <v>0</v>
      </c>
      <c r="C8">
        <v>8</v>
      </c>
      <c r="E8">
        <v>8</v>
      </c>
      <c r="G8" t="str">
        <f t="shared" si="0"/>
        <v>8</v>
      </c>
      <c r="H8" t="str">
        <f t="shared" si="1"/>
        <v/>
      </c>
      <c r="I8" t="str">
        <f t="shared" si="2"/>
        <v/>
      </c>
      <c r="K8" t="str">
        <f t="shared" si="3"/>
        <v>8</v>
      </c>
      <c r="L8" t="str">
        <f t="shared" si="4"/>
        <v/>
      </c>
      <c r="M8" t="str">
        <f t="shared" si="5"/>
        <v/>
      </c>
      <c r="O8" s="69" t="str">
        <f t="shared" si="6"/>
        <v>8</v>
      </c>
      <c r="P8">
        <f t="shared" si="7"/>
        <v>48</v>
      </c>
      <c r="Q8" t="str">
        <f t="shared" si="8"/>
        <v xml:space="preserve"> </v>
      </c>
    </row>
    <row r="9" spans="1:17" x14ac:dyDescent="0.25">
      <c r="A9">
        <v>0</v>
      </c>
      <c r="B9">
        <v>0</v>
      </c>
      <c r="C9">
        <v>9</v>
      </c>
      <c r="E9">
        <v>9</v>
      </c>
      <c r="G9" t="str">
        <f t="shared" si="0"/>
        <v>9</v>
      </c>
      <c r="H9" t="str">
        <f t="shared" si="1"/>
        <v/>
      </c>
      <c r="I9" t="str">
        <f t="shared" si="2"/>
        <v/>
      </c>
      <c r="K9" t="str">
        <f t="shared" si="3"/>
        <v>9</v>
      </c>
      <c r="L9" t="str">
        <f t="shared" si="4"/>
        <v/>
      </c>
      <c r="M9" t="str">
        <f t="shared" si="5"/>
        <v/>
      </c>
      <c r="O9" s="69" t="str">
        <f t="shared" si="6"/>
        <v>9</v>
      </c>
      <c r="P9">
        <f t="shared" si="7"/>
        <v>54</v>
      </c>
      <c r="Q9" t="str">
        <f t="shared" si="8"/>
        <v xml:space="preserve"> </v>
      </c>
    </row>
    <row r="10" spans="1:17" x14ac:dyDescent="0.25">
      <c r="A10">
        <v>0</v>
      </c>
      <c r="B10">
        <v>1</v>
      </c>
      <c r="C10">
        <v>0</v>
      </c>
      <c r="E10">
        <v>10</v>
      </c>
      <c r="G10" t="str">
        <f>+MID(E10,1,1)</f>
        <v>1</v>
      </c>
      <c r="H10" t="str">
        <f t="shared" si="1"/>
        <v>0</v>
      </c>
      <c r="I10" t="str">
        <f t="shared" si="2"/>
        <v/>
      </c>
      <c r="K10" t="str">
        <f t="shared" si="3"/>
        <v>1</v>
      </c>
      <c r="L10" t="str">
        <f t="shared" si="4"/>
        <v>0</v>
      </c>
      <c r="M10" t="str">
        <f t="shared" si="5"/>
        <v/>
      </c>
      <c r="O10" s="69">
        <f>+K10+L10</f>
        <v>1</v>
      </c>
      <c r="P10">
        <f t="shared" si="7"/>
        <v>6</v>
      </c>
      <c r="Q10" t="str">
        <f t="shared" si="8"/>
        <v xml:space="preserve"> </v>
      </c>
    </row>
    <row r="11" spans="1:17" x14ac:dyDescent="0.25">
      <c r="A11">
        <v>0</v>
      </c>
      <c r="B11">
        <v>1</v>
      </c>
      <c r="C11">
        <v>1</v>
      </c>
      <c r="E11">
        <v>11</v>
      </c>
      <c r="G11" t="str">
        <f t="shared" si="0"/>
        <v>1</v>
      </c>
      <c r="H11" t="str">
        <f t="shared" si="1"/>
        <v>1</v>
      </c>
      <c r="I11" t="str">
        <f t="shared" si="2"/>
        <v/>
      </c>
      <c r="K11" t="str">
        <f t="shared" si="3"/>
        <v>1</v>
      </c>
      <c r="L11" t="str">
        <f t="shared" si="4"/>
        <v>1</v>
      </c>
      <c r="M11" t="str">
        <f t="shared" si="5"/>
        <v/>
      </c>
      <c r="O11" s="69">
        <f t="shared" ref="O11:O74" si="9">+K11+L11</f>
        <v>2</v>
      </c>
      <c r="P11">
        <f t="shared" si="7"/>
        <v>12</v>
      </c>
      <c r="Q11" t="str">
        <f t="shared" si="8"/>
        <v xml:space="preserve"> </v>
      </c>
    </row>
    <row r="12" spans="1:17" x14ac:dyDescent="0.25">
      <c r="A12">
        <v>0</v>
      </c>
      <c r="B12">
        <v>1</v>
      </c>
      <c r="C12">
        <v>2</v>
      </c>
      <c r="E12">
        <v>12</v>
      </c>
      <c r="G12" t="str">
        <f t="shared" si="0"/>
        <v>1</v>
      </c>
      <c r="H12" t="str">
        <f t="shared" si="1"/>
        <v>2</v>
      </c>
      <c r="I12" t="str">
        <f t="shared" si="2"/>
        <v/>
      </c>
      <c r="K12" t="str">
        <f t="shared" si="3"/>
        <v>1</v>
      </c>
      <c r="L12" t="str">
        <f t="shared" si="4"/>
        <v>2</v>
      </c>
      <c r="M12" t="str">
        <f t="shared" si="5"/>
        <v/>
      </c>
      <c r="O12" s="69">
        <f t="shared" si="9"/>
        <v>3</v>
      </c>
      <c r="P12">
        <f t="shared" si="7"/>
        <v>18</v>
      </c>
      <c r="Q12" t="str">
        <f t="shared" si="8"/>
        <v xml:space="preserve"> </v>
      </c>
    </row>
    <row r="13" spans="1:17" x14ac:dyDescent="0.25">
      <c r="A13">
        <v>0</v>
      </c>
      <c r="B13">
        <v>1</v>
      </c>
      <c r="C13">
        <v>3</v>
      </c>
      <c r="E13">
        <v>13</v>
      </c>
      <c r="G13" t="str">
        <f t="shared" si="0"/>
        <v>1</v>
      </c>
      <c r="H13" t="str">
        <f t="shared" si="1"/>
        <v>3</v>
      </c>
      <c r="I13" t="str">
        <f t="shared" si="2"/>
        <v/>
      </c>
      <c r="K13" t="str">
        <f t="shared" si="3"/>
        <v>1</v>
      </c>
      <c r="L13" t="str">
        <f t="shared" si="4"/>
        <v>3</v>
      </c>
      <c r="M13" t="str">
        <f t="shared" si="5"/>
        <v/>
      </c>
      <c r="O13" s="69">
        <f t="shared" si="9"/>
        <v>4</v>
      </c>
      <c r="P13">
        <f t="shared" si="7"/>
        <v>24</v>
      </c>
      <c r="Q13" t="str">
        <f t="shared" si="8"/>
        <v xml:space="preserve"> </v>
      </c>
    </row>
    <row r="14" spans="1:17" x14ac:dyDescent="0.25">
      <c r="A14">
        <v>0</v>
      </c>
      <c r="B14">
        <v>1</v>
      </c>
      <c r="C14">
        <v>4</v>
      </c>
      <c r="E14">
        <v>14</v>
      </c>
      <c r="G14" t="str">
        <f t="shared" si="0"/>
        <v>1</v>
      </c>
      <c r="H14" t="str">
        <f t="shared" si="1"/>
        <v>4</v>
      </c>
      <c r="I14" t="str">
        <f t="shared" si="2"/>
        <v/>
      </c>
      <c r="K14" t="str">
        <f t="shared" si="3"/>
        <v>1</v>
      </c>
      <c r="L14" t="str">
        <f t="shared" si="4"/>
        <v>4</v>
      </c>
      <c r="M14" t="str">
        <f t="shared" si="5"/>
        <v/>
      </c>
      <c r="O14" s="69">
        <f t="shared" si="9"/>
        <v>5</v>
      </c>
      <c r="P14">
        <f t="shared" si="7"/>
        <v>30</v>
      </c>
      <c r="Q14" t="str">
        <f t="shared" si="8"/>
        <v xml:space="preserve"> </v>
      </c>
    </row>
    <row r="15" spans="1:17" x14ac:dyDescent="0.25">
      <c r="A15">
        <v>0</v>
      </c>
      <c r="B15">
        <v>1</v>
      </c>
      <c r="C15">
        <v>5</v>
      </c>
      <c r="E15">
        <v>15</v>
      </c>
      <c r="G15" t="str">
        <f t="shared" si="0"/>
        <v>1</v>
      </c>
      <c r="H15" t="str">
        <f t="shared" si="1"/>
        <v>5</v>
      </c>
      <c r="I15" t="str">
        <f t="shared" si="2"/>
        <v/>
      </c>
      <c r="K15" t="str">
        <f t="shared" si="3"/>
        <v>1</v>
      </c>
      <c r="L15" t="str">
        <f t="shared" si="4"/>
        <v>5</v>
      </c>
      <c r="M15" t="str">
        <f t="shared" si="5"/>
        <v/>
      </c>
      <c r="O15" s="69">
        <f t="shared" si="9"/>
        <v>6</v>
      </c>
      <c r="P15">
        <f t="shared" si="7"/>
        <v>36</v>
      </c>
      <c r="Q15" t="str">
        <f t="shared" si="8"/>
        <v xml:space="preserve"> </v>
      </c>
    </row>
    <row r="16" spans="1:17" x14ac:dyDescent="0.25">
      <c r="A16">
        <v>0</v>
      </c>
      <c r="B16">
        <v>1</v>
      </c>
      <c r="C16">
        <v>6</v>
      </c>
      <c r="E16">
        <v>16</v>
      </c>
      <c r="G16" t="str">
        <f t="shared" si="0"/>
        <v>1</v>
      </c>
      <c r="H16" t="str">
        <f t="shared" si="1"/>
        <v>6</v>
      </c>
      <c r="I16" t="str">
        <f t="shared" si="2"/>
        <v/>
      </c>
      <c r="K16" t="str">
        <f t="shared" si="3"/>
        <v>1</v>
      </c>
      <c r="L16" t="str">
        <f t="shared" si="4"/>
        <v>6</v>
      </c>
      <c r="M16" t="str">
        <f t="shared" si="5"/>
        <v/>
      </c>
      <c r="O16" s="69">
        <f t="shared" si="9"/>
        <v>7</v>
      </c>
      <c r="P16">
        <f t="shared" si="7"/>
        <v>42</v>
      </c>
      <c r="Q16" t="str">
        <f t="shared" si="8"/>
        <v xml:space="preserve"> </v>
      </c>
    </row>
    <row r="17" spans="1:17" x14ac:dyDescent="0.25">
      <c r="A17">
        <v>0</v>
      </c>
      <c r="B17">
        <v>1</v>
      </c>
      <c r="C17">
        <v>7</v>
      </c>
      <c r="E17">
        <v>17</v>
      </c>
      <c r="G17" t="str">
        <f t="shared" si="0"/>
        <v>1</v>
      </c>
      <c r="H17" t="str">
        <f t="shared" si="1"/>
        <v>7</v>
      </c>
      <c r="I17" t="str">
        <f t="shared" si="2"/>
        <v/>
      </c>
      <c r="K17" t="str">
        <f t="shared" si="3"/>
        <v>1</v>
      </c>
      <c r="L17" t="str">
        <f t="shared" si="4"/>
        <v>7</v>
      </c>
      <c r="M17" t="str">
        <f t="shared" si="5"/>
        <v/>
      </c>
      <c r="O17" s="69">
        <f t="shared" si="9"/>
        <v>8</v>
      </c>
      <c r="P17">
        <f t="shared" si="7"/>
        <v>48</v>
      </c>
      <c r="Q17" t="str">
        <f t="shared" si="8"/>
        <v xml:space="preserve"> </v>
      </c>
    </row>
    <row r="18" spans="1:17" x14ac:dyDescent="0.25">
      <c r="A18">
        <v>0</v>
      </c>
      <c r="B18">
        <v>1</v>
      </c>
      <c r="C18">
        <v>8</v>
      </c>
      <c r="E18">
        <v>18</v>
      </c>
      <c r="G18" t="str">
        <f t="shared" si="0"/>
        <v>1</v>
      </c>
      <c r="H18" t="str">
        <f t="shared" si="1"/>
        <v>8</v>
      </c>
      <c r="I18" t="str">
        <f t="shared" si="2"/>
        <v/>
      </c>
      <c r="K18" t="str">
        <f t="shared" ref="K18:K81" si="10">+G18</f>
        <v>1</v>
      </c>
      <c r="L18" t="str">
        <f t="shared" ref="L18:L81" si="11">+H18</f>
        <v>8</v>
      </c>
      <c r="M18" t="str">
        <f t="shared" ref="M18:M81" si="12">+I18</f>
        <v/>
      </c>
      <c r="O18" s="69">
        <f t="shared" si="9"/>
        <v>9</v>
      </c>
      <c r="P18">
        <f t="shared" si="7"/>
        <v>54</v>
      </c>
      <c r="Q18" t="str">
        <f t="shared" si="8"/>
        <v xml:space="preserve"> </v>
      </c>
    </row>
    <row r="19" spans="1:17" x14ac:dyDescent="0.25">
      <c r="A19">
        <v>0</v>
      </c>
      <c r="B19">
        <v>1</v>
      </c>
      <c r="C19">
        <v>9</v>
      </c>
      <c r="E19">
        <v>19</v>
      </c>
      <c r="G19" t="str">
        <f t="shared" si="0"/>
        <v>1</v>
      </c>
      <c r="H19" t="str">
        <f t="shared" si="1"/>
        <v>9</v>
      </c>
      <c r="I19" t="str">
        <f t="shared" si="2"/>
        <v/>
      </c>
      <c r="K19" t="str">
        <f t="shared" si="10"/>
        <v>1</v>
      </c>
      <c r="L19" t="str">
        <f t="shared" si="11"/>
        <v>9</v>
      </c>
      <c r="M19" t="str">
        <f t="shared" si="12"/>
        <v/>
      </c>
      <c r="O19" s="69">
        <f t="shared" si="9"/>
        <v>10</v>
      </c>
      <c r="P19">
        <f t="shared" si="7"/>
        <v>60</v>
      </c>
      <c r="Q19" t="str">
        <f t="shared" si="8"/>
        <v xml:space="preserve"> </v>
      </c>
    </row>
    <row r="20" spans="1:17" x14ac:dyDescent="0.25">
      <c r="A20">
        <v>0</v>
      </c>
      <c r="B20">
        <v>2</v>
      </c>
      <c r="C20">
        <v>0</v>
      </c>
      <c r="E20">
        <v>20</v>
      </c>
      <c r="G20" t="str">
        <f t="shared" si="0"/>
        <v>2</v>
      </c>
      <c r="H20" t="str">
        <f t="shared" si="1"/>
        <v>0</v>
      </c>
      <c r="I20" t="str">
        <f t="shared" si="2"/>
        <v/>
      </c>
      <c r="K20" t="str">
        <f t="shared" si="10"/>
        <v>2</v>
      </c>
      <c r="L20" t="str">
        <f t="shared" si="11"/>
        <v>0</v>
      </c>
      <c r="M20" t="str">
        <f t="shared" si="12"/>
        <v/>
      </c>
      <c r="O20" s="69">
        <f t="shared" si="9"/>
        <v>2</v>
      </c>
      <c r="P20">
        <f t="shared" si="7"/>
        <v>12</v>
      </c>
      <c r="Q20" t="str">
        <f t="shared" si="8"/>
        <v xml:space="preserve"> </v>
      </c>
    </row>
    <row r="21" spans="1:17" x14ac:dyDescent="0.25">
      <c r="A21">
        <v>0</v>
      </c>
      <c r="B21">
        <v>2</v>
      </c>
      <c r="C21">
        <v>1</v>
      </c>
      <c r="E21">
        <v>21</v>
      </c>
      <c r="G21" t="str">
        <f t="shared" si="0"/>
        <v>2</v>
      </c>
      <c r="H21" t="str">
        <f t="shared" si="1"/>
        <v>1</v>
      </c>
      <c r="I21" t="str">
        <f t="shared" si="2"/>
        <v/>
      </c>
      <c r="K21" t="str">
        <f t="shared" si="10"/>
        <v>2</v>
      </c>
      <c r="L21" t="str">
        <f t="shared" si="11"/>
        <v>1</v>
      </c>
      <c r="M21" t="str">
        <f t="shared" si="12"/>
        <v/>
      </c>
      <c r="O21" s="69">
        <f t="shared" si="9"/>
        <v>3</v>
      </c>
      <c r="P21">
        <f t="shared" si="7"/>
        <v>18</v>
      </c>
      <c r="Q21" t="str">
        <f t="shared" si="8"/>
        <v xml:space="preserve"> </v>
      </c>
    </row>
    <row r="22" spans="1:17" x14ac:dyDescent="0.25">
      <c r="A22">
        <v>0</v>
      </c>
      <c r="B22">
        <v>2</v>
      </c>
      <c r="C22">
        <v>2</v>
      </c>
      <c r="E22">
        <v>22</v>
      </c>
      <c r="G22" t="str">
        <f t="shared" si="0"/>
        <v>2</v>
      </c>
      <c r="H22" t="str">
        <f t="shared" si="1"/>
        <v>2</v>
      </c>
      <c r="I22" t="str">
        <f t="shared" si="2"/>
        <v/>
      </c>
      <c r="K22" t="str">
        <f t="shared" si="10"/>
        <v>2</v>
      </c>
      <c r="L22" t="str">
        <f t="shared" si="11"/>
        <v>2</v>
      </c>
      <c r="M22" t="str">
        <f t="shared" si="12"/>
        <v/>
      </c>
      <c r="O22" s="69">
        <f t="shared" si="9"/>
        <v>4</v>
      </c>
      <c r="P22">
        <f t="shared" si="7"/>
        <v>24</v>
      </c>
      <c r="Q22" t="str">
        <f t="shared" si="8"/>
        <v xml:space="preserve"> </v>
      </c>
    </row>
    <row r="23" spans="1:17" x14ac:dyDescent="0.25">
      <c r="A23">
        <v>0</v>
      </c>
      <c r="B23">
        <v>2</v>
      </c>
      <c r="C23">
        <v>3</v>
      </c>
      <c r="E23">
        <v>23</v>
      </c>
      <c r="G23" t="str">
        <f t="shared" si="0"/>
        <v>2</v>
      </c>
      <c r="H23" t="str">
        <f t="shared" si="1"/>
        <v>3</v>
      </c>
      <c r="I23" t="str">
        <f t="shared" si="2"/>
        <v/>
      </c>
      <c r="K23" t="str">
        <f t="shared" si="10"/>
        <v>2</v>
      </c>
      <c r="L23" t="str">
        <f t="shared" si="11"/>
        <v>3</v>
      </c>
      <c r="M23" t="str">
        <f t="shared" si="12"/>
        <v/>
      </c>
      <c r="O23" s="69">
        <f t="shared" si="9"/>
        <v>5</v>
      </c>
      <c r="P23">
        <f t="shared" si="7"/>
        <v>30</v>
      </c>
      <c r="Q23" t="str">
        <f t="shared" si="8"/>
        <v xml:space="preserve"> </v>
      </c>
    </row>
    <row r="24" spans="1:17" x14ac:dyDescent="0.25">
      <c r="A24">
        <v>0</v>
      </c>
      <c r="B24">
        <v>2</v>
      </c>
      <c r="C24">
        <v>4</v>
      </c>
      <c r="E24">
        <v>24</v>
      </c>
      <c r="G24" t="str">
        <f t="shared" si="0"/>
        <v>2</v>
      </c>
      <c r="H24" t="str">
        <f t="shared" si="1"/>
        <v>4</v>
      </c>
      <c r="I24" t="str">
        <f t="shared" si="2"/>
        <v/>
      </c>
      <c r="K24" t="str">
        <f t="shared" si="10"/>
        <v>2</v>
      </c>
      <c r="L24" t="str">
        <f t="shared" si="11"/>
        <v>4</v>
      </c>
      <c r="M24" t="str">
        <f t="shared" si="12"/>
        <v/>
      </c>
      <c r="O24" s="69">
        <f t="shared" si="9"/>
        <v>6</v>
      </c>
      <c r="P24">
        <f t="shared" si="7"/>
        <v>36</v>
      </c>
      <c r="Q24" t="str">
        <f t="shared" si="8"/>
        <v xml:space="preserve"> </v>
      </c>
    </row>
    <row r="25" spans="1:17" x14ac:dyDescent="0.25">
      <c r="A25">
        <v>0</v>
      </c>
      <c r="B25">
        <v>2</v>
      </c>
      <c r="C25">
        <v>5</v>
      </c>
      <c r="E25">
        <v>25</v>
      </c>
      <c r="G25" t="str">
        <f t="shared" si="0"/>
        <v>2</v>
      </c>
      <c r="H25" t="str">
        <f t="shared" si="1"/>
        <v>5</v>
      </c>
      <c r="I25" t="str">
        <f t="shared" si="2"/>
        <v/>
      </c>
      <c r="K25" t="str">
        <f t="shared" si="10"/>
        <v>2</v>
      </c>
      <c r="L25" t="str">
        <f t="shared" si="11"/>
        <v>5</v>
      </c>
      <c r="M25" t="str">
        <f t="shared" si="12"/>
        <v/>
      </c>
      <c r="O25" s="69">
        <f t="shared" si="9"/>
        <v>7</v>
      </c>
      <c r="P25">
        <f t="shared" si="7"/>
        <v>42</v>
      </c>
      <c r="Q25" t="str">
        <f t="shared" si="8"/>
        <v xml:space="preserve"> </v>
      </c>
    </row>
    <row r="26" spans="1:17" x14ac:dyDescent="0.25">
      <c r="A26">
        <v>0</v>
      </c>
      <c r="B26">
        <v>2</v>
      </c>
      <c r="C26">
        <v>6</v>
      </c>
      <c r="E26">
        <v>26</v>
      </c>
      <c r="G26" t="str">
        <f t="shared" si="0"/>
        <v>2</v>
      </c>
      <c r="H26" t="str">
        <f t="shared" si="1"/>
        <v>6</v>
      </c>
      <c r="I26" t="str">
        <f t="shared" si="2"/>
        <v/>
      </c>
      <c r="K26" t="str">
        <f t="shared" si="10"/>
        <v>2</v>
      </c>
      <c r="L26" t="str">
        <f t="shared" si="11"/>
        <v>6</v>
      </c>
      <c r="M26" t="str">
        <f t="shared" si="12"/>
        <v/>
      </c>
      <c r="O26" s="69">
        <f t="shared" si="9"/>
        <v>8</v>
      </c>
      <c r="P26">
        <f t="shared" si="7"/>
        <v>48</v>
      </c>
      <c r="Q26" t="str">
        <f t="shared" si="8"/>
        <v xml:space="preserve"> </v>
      </c>
    </row>
    <row r="27" spans="1:17" x14ac:dyDescent="0.25">
      <c r="A27">
        <v>0</v>
      </c>
      <c r="B27">
        <v>2</v>
      </c>
      <c r="C27">
        <v>7</v>
      </c>
      <c r="E27">
        <v>27</v>
      </c>
      <c r="G27" t="str">
        <f t="shared" si="0"/>
        <v>2</v>
      </c>
      <c r="H27" t="str">
        <f t="shared" si="1"/>
        <v>7</v>
      </c>
      <c r="I27" t="str">
        <f t="shared" si="2"/>
        <v/>
      </c>
      <c r="K27" t="str">
        <f t="shared" si="10"/>
        <v>2</v>
      </c>
      <c r="L27" t="str">
        <f t="shared" si="11"/>
        <v>7</v>
      </c>
      <c r="M27" t="str">
        <f t="shared" si="12"/>
        <v/>
      </c>
      <c r="O27" s="69">
        <f t="shared" si="9"/>
        <v>9</v>
      </c>
      <c r="P27">
        <f t="shared" si="7"/>
        <v>54</v>
      </c>
      <c r="Q27" t="str">
        <f t="shared" si="8"/>
        <v xml:space="preserve"> </v>
      </c>
    </row>
    <row r="28" spans="1:17" x14ac:dyDescent="0.25">
      <c r="A28">
        <v>0</v>
      </c>
      <c r="B28">
        <v>2</v>
      </c>
      <c r="C28">
        <v>8</v>
      </c>
      <c r="E28">
        <v>28</v>
      </c>
      <c r="G28" t="str">
        <f t="shared" si="0"/>
        <v>2</v>
      </c>
      <c r="H28" t="str">
        <f t="shared" si="1"/>
        <v>8</v>
      </c>
      <c r="I28" t="str">
        <f t="shared" si="2"/>
        <v/>
      </c>
      <c r="K28" t="str">
        <f t="shared" si="10"/>
        <v>2</v>
      </c>
      <c r="L28" t="str">
        <f t="shared" si="11"/>
        <v>8</v>
      </c>
      <c r="M28" t="str">
        <f t="shared" si="12"/>
        <v/>
      </c>
      <c r="O28" s="69">
        <f t="shared" si="9"/>
        <v>10</v>
      </c>
      <c r="P28">
        <f t="shared" si="7"/>
        <v>60</v>
      </c>
      <c r="Q28" t="str">
        <f t="shared" si="8"/>
        <v xml:space="preserve"> </v>
      </c>
    </row>
    <row r="29" spans="1:17" x14ac:dyDescent="0.25">
      <c r="A29">
        <v>0</v>
      </c>
      <c r="B29">
        <v>2</v>
      </c>
      <c r="C29">
        <v>9</v>
      </c>
      <c r="E29">
        <v>29</v>
      </c>
      <c r="G29" t="str">
        <f t="shared" si="0"/>
        <v>2</v>
      </c>
      <c r="H29" t="str">
        <f t="shared" si="1"/>
        <v>9</v>
      </c>
      <c r="I29" t="str">
        <f t="shared" si="2"/>
        <v/>
      </c>
      <c r="K29" t="str">
        <f t="shared" si="10"/>
        <v>2</v>
      </c>
      <c r="L29" t="str">
        <f t="shared" si="11"/>
        <v>9</v>
      </c>
      <c r="M29" t="str">
        <f t="shared" si="12"/>
        <v/>
      </c>
      <c r="O29" s="69">
        <f t="shared" si="9"/>
        <v>11</v>
      </c>
      <c r="P29">
        <f t="shared" si="7"/>
        <v>66</v>
      </c>
      <c r="Q29" t="str">
        <f t="shared" si="8"/>
        <v xml:space="preserve"> </v>
      </c>
    </row>
    <row r="30" spans="1:17" x14ac:dyDescent="0.25">
      <c r="A30">
        <v>0</v>
      </c>
      <c r="E30">
        <v>30</v>
      </c>
      <c r="G30" t="str">
        <f t="shared" si="0"/>
        <v>3</v>
      </c>
      <c r="H30" t="str">
        <f t="shared" si="1"/>
        <v>0</v>
      </c>
      <c r="I30" t="str">
        <f t="shared" si="2"/>
        <v/>
      </c>
      <c r="K30" t="str">
        <f t="shared" si="10"/>
        <v>3</v>
      </c>
      <c r="L30" t="str">
        <f t="shared" si="11"/>
        <v>0</v>
      </c>
      <c r="M30" t="str">
        <f t="shared" si="12"/>
        <v/>
      </c>
      <c r="O30" s="69">
        <f t="shared" si="9"/>
        <v>3</v>
      </c>
      <c r="P30">
        <f t="shared" si="7"/>
        <v>18</v>
      </c>
      <c r="Q30" t="str">
        <f t="shared" si="8"/>
        <v xml:space="preserve"> </v>
      </c>
    </row>
    <row r="31" spans="1:17" x14ac:dyDescent="0.25">
      <c r="A31">
        <v>0</v>
      </c>
      <c r="E31">
        <v>31</v>
      </c>
      <c r="G31" t="str">
        <f t="shared" si="0"/>
        <v>3</v>
      </c>
      <c r="H31" t="str">
        <f t="shared" si="1"/>
        <v>1</v>
      </c>
      <c r="I31" t="str">
        <f t="shared" si="2"/>
        <v/>
      </c>
      <c r="K31" t="str">
        <f t="shared" si="10"/>
        <v>3</v>
      </c>
      <c r="L31" t="str">
        <f t="shared" si="11"/>
        <v>1</v>
      </c>
      <c r="M31" t="str">
        <f t="shared" si="12"/>
        <v/>
      </c>
      <c r="O31" s="69">
        <f t="shared" si="9"/>
        <v>4</v>
      </c>
      <c r="P31">
        <f t="shared" si="7"/>
        <v>24</v>
      </c>
      <c r="Q31" t="str">
        <f t="shared" si="8"/>
        <v xml:space="preserve"> </v>
      </c>
    </row>
    <row r="32" spans="1:17" x14ac:dyDescent="0.25">
      <c r="A32">
        <v>0</v>
      </c>
      <c r="E32">
        <v>32</v>
      </c>
      <c r="G32" t="str">
        <f t="shared" si="0"/>
        <v>3</v>
      </c>
      <c r="H32" t="str">
        <f t="shared" si="1"/>
        <v>2</v>
      </c>
      <c r="I32" t="str">
        <f t="shared" si="2"/>
        <v/>
      </c>
      <c r="K32" t="str">
        <f t="shared" si="10"/>
        <v>3</v>
      </c>
      <c r="L32" t="str">
        <f t="shared" si="11"/>
        <v>2</v>
      </c>
      <c r="M32" t="str">
        <f t="shared" si="12"/>
        <v/>
      </c>
      <c r="O32" s="69">
        <f t="shared" si="9"/>
        <v>5</v>
      </c>
      <c r="P32">
        <f t="shared" si="7"/>
        <v>30</v>
      </c>
      <c r="Q32" t="str">
        <f t="shared" si="8"/>
        <v xml:space="preserve"> </v>
      </c>
    </row>
    <row r="33" spans="1:17" x14ac:dyDescent="0.25">
      <c r="A33">
        <v>0</v>
      </c>
      <c r="E33">
        <v>33</v>
      </c>
      <c r="G33" t="str">
        <f t="shared" si="0"/>
        <v>3</v>
      </c>
      <c r="H33" t="str">
        <f t="shared" si="1"/>
        <v>3</v>
      </c>
      <c r="I33" t="str">
        <f t="shared" si="2"/>
        <v/>
      </c>
      <c r="K33" t="str">
        <f t="shared" si="10"/>
        <v>3</v>
      </c>
      <c r="L33" t="str">
        <f t="shared" si="11"/>
        <v>3</v>
      </c>
      <c r="M33" t="str">
        <f t="shared" si="12"/>
        <v/>
      </c>
      <c r="O33" s="69">
        <f t="shared" si="9"/>
        <v>6</v>
      </c>
      <c r="P33">
        <f t="shared" si="7"/>
        <v>36</v>
      </c>
      <c r="Q33" t="str">
        <f t="shared" si="8"/>
        <v xml:space="preserve"> </v>
      </c>
    </row>
    <row r="34" spans="1:17" x14ac:dyDescent="0.25">
      <c r="A34">
        <v>0</v>
      </c>
      <c r="E34">
        <v>34</v>
      </c>
      <c r="G34" t="str">
        <f t="shared" si="0"/>
        <v>3</v>
      </c>
      <c r="H34" t="str">
        <f t="shared" si="1"/>
        <v>4</v>
      </c>
      <c r="I34" t="str">
        <f t="shared" si="2"/>
        <v/>
      </c>
      <c r="K34" t="str">
        <f t="shared" si="10"/>
        <v>3</v>
      </c>
      <c r="L34" t="str">
        <f t="shared" si="11"/>
        <v>4</v>
      </c>
      <c r="M34" t="str">
        <f t="shared" si="12"/>
        <v/>
      </c>
      <c r="O34" s="69">
        <f t="shared" si="9"/>
        <v>7</v>
      </c>
      <c r="P34">
        <f t="shared" si="7"/>
        <v>42</v>
      </c>
      <c r="Q34" t="str">
        <f t="shared" si="8"/>
        <v xml:space="preserve"> </v>
      </c>
    </row>
    <row r="35" spans="1:17" x14ac:dyDescent="0.25">
      <c r="A35">
        <v>0</v>
      </c>
      <c r="E35">
        <v>35</v>
      </c>
      <c r="G35" t="str">
        <f t="shared" si="0"/>
        <v>3</v>
      </c>
      <c r="H35" t="str">
        <f t="shared" si="1"/>
        <v>5</v>
      </c>
      <c r="I35" t="str">
        <f t="shared" si="2"/>
        <v/>
      </c>
      <c r="K35" t="str">
        <f t="shared" si="10"/>
        <v>3</v>
      </c>
      <c r="L35" t="str">
        <f t="shared" si="11"/>
        <v>5</v>
      </c>
      <c r="M35" t="str">
        <f t="shared" si="12"/>
        <v/>
      </c>
      <c r="O35" s="69">
        <f t="shared" si="9"/>
        <v>8</v>
      </c>
      <c r="P35">
        <f t="shared" si="7"/>
        <v>48</v>
      </c>
      <c r="Q35" t="str">
        <f t="shared" si="8"/>
        <v xml:space="preserve"> </v>
      </c>
    </row>
    <row r="36" spans="1:17" x14ac:dyDescent="0.25">
      <c r="A36">
        <v>0</v>
      </c>
      <c r="E36">
        <v>36</v>
      </c>
      <c r="G36" t="str">
        <f t="shared" si="0"/>
        <v>3</v>
      </c>
      <c r="H36" t="str">
        <f t="shared" si="1"/>
        <v>6</v>
      </c>
      <c r="I36" t="str">
        <f t="shared" si="2"/>
        <v/>
      </c>
      <c r="K36" t="str">
        <f t="shared" si="10"/>
        <v>3</v>
      </c>
      <c r="L36" t="str">
        <f t="shared" si="11"/>
        <v>6</v>
      </c>
      <c r="M36" t="str">
        <f t="shared" si="12"/>
        <v/>
      </c>
      <c r="O36" s="69">
        <f t="shared" si="9"/>
        <v>9</v>
      </c>
      <c r="P36">
        <f t="shared" si="7"/>
        <v>54</v>
      </c>
      <c r="Q36" t="str">
        <f t="shared" si="8"/>
        <v xml:space="preserve"> </v>
      </c>
    </row>
    <row r="37" spans="1:17" x14ac:dyDescent="0.25">
      <c r="A37">
        <v>0</v>
      </c>
      <c r="E37">
        <v>37</v>
      </c>
      <c r="G37" t="str">
        <f t="shared" si="0"/>
        <v>3</v>
      </c>
      <c r="H37" t="str">
        <f t="shared" si="1"/>
        <v>7</v>
      </c>
      <c r="I37" t="str">
        <f t="shared" si="2"/>
        <v/>
      </c>
      <c r="K37" t="str">
        <f t="shared" si="10"/>
        <v>3</v>
      </c>
      <c r="L37" t="str">
        <f t="shared" si="11"/>
        <v>7</v>
      </c>
      <c r="M37" t="str">
        <f t="shared" si="12"/>
        <v/>
      </c>
      <c r="O37" s="69">
        <f t="shared" si="9"/>
        <v>10</v>
      </c>
      <c r="P37">
        <f t="shared" si="7"/>
        <v>60</v>
      </c>
      <c r="Q37" t="str">
        <f t="shared" si="8"/>
        <v xml:space="preserve"> </v>
      </c>
    </row>
    <row r="38" spans="1:17" x14ac:dyDescent="0.25">
      <c r="A38">
        <v>0</v>
      </c>
      <c r="E38">
        <v>38</v>
      </c>
      <c r="G38" t="str">
        <f t="shared" si="0"/>
        <v>3</v>
      </c>
      <c r="H38" t="str">
        <f t="shared" si="1"/>
        <v>8</v>
      </c>
      <c r="I38" t="str">
        <f t="shared" si="2"/>
        <v/>
      </c>
      <c r="K38" t="str">
        <f t="shared" si="10"/>
        <v>3</v>
      </c>
      <c r="L38" t="str">
        <f t="shared" si="11"/>
        <v>8</v>
      </c>
      <c r="M38" t="str">
        <f t="shared" si="12"/>
        <v/>
      </c>
      <c r="O38" s="69">
        <f t="shared" si="9"/>
        <v>11</v>
      </c>
      <c r="P38">
        <f t="shared" si="7"/>
        <v>66</v>
      </c>
      <c r="Q38" t="str">
        <f t="shared" si="8"/>
        <v xml:space="preserve"> </v>
      </c>
    </row>
    <row r="39" spans="1:17" x14ac:dyDescent="0.25">
      <c r="A39">
        <v>0</v>
      </c>
      <c r="E39">
        <v>39</v>
      </c>
      <c r="G39" t="str">
        <f t="shared" si="0"/>
        <v>3</v>
      </c>
      <c r="H39" t="str">
        <f t="shared" si="1"/>
        <v>9</v>
      </c>
      <c r="I39" t="str">
        <f t="shared" si="2"/>
        <v/>
      </c>
      <c r="K39" t="str">
        <f t="shared" si="10"/>
        <v>3</v>
      </c>
      <c r="L39" t="str">
        <f t="shared" si="11"/>
        <v>9</v>
      </c>
      <c r="M39" t="str">
        <f t="shared" si="12"/>
        <v/>
      </c>
      <c r="O39" s="69">
        <f t="shared" si="9"/>
        <v>12</v>
      </c>
      <c r="P39">
        <f t="shared" si="7"/>
        <v>72</v>
      </c>
      <c r="Q39" t="str">
        <f t="shared" si="8"/>
        <v xml:space="preserve"> </v>
      </c>
    </row>
    <row r="40" spans="1:17" x14ac:dyDescent="0.25">
      <c r="A40">
        <v>0</v>
      </c>
      <c r="E40">
        <v>40</v>
      </c>
      <c r="G40" t="str">
        <f t="shared" si="0"/>
        <v>4</v>
      </c>
      <c r="H40" t="str">
        <f t="shared" si="1"/>
        <v>0</v>
      </c>
      <c r="I40" t="str">
        <f t="shared" si="2"/>
        <v/>
      </c>
      <c r="K40" t="str">
        <f t="shared" si="10"/>
        <v>4</v>
      </c>
      <c r="L40" t="str">
        <f t="shared" si="11"/>
        <v>0</v>
      </c>
      <c r="M40" t="str">
        <f t="shared" si="12"/>
        <v/>
      </c>
      <c r="O40" s="69">
        <f t="shared" si="9"/>
        <v>4</v>
      </c>
      <c r="P40">
        <f t="shared" si="7"/>
        <v>24</v>
      </c>
      <c r="Q40" t="str">
        <f t="shared" si="8"/>
        <v xml:space="preserve"> </v>
      </c>
    </row>
    <row r="41" spans="1:17" x14ac:dyDescent="0.25">
      <c r="A41">
        <v>0</v>
      </c>
      <c r="E41">
        <v>41</v>
      </c>
      <c r="G41" t="str">
        <f t="shared" si="0"/>
        <v>4</v>
      </c>
      <c r="H41" t="str">
        <f t="shared" si="1"/>
        <v>1</v>
      </c>
      <c r="I41" t="str">
        <f t="shared" si="2"/>
        <v/>
      </c>
      <c r="K41" t="str">
        <f t="shared" si="10"/>
        <v>4</v>
      </c>
      <c r="L41" t="str">
        <f t="shared" si="11"/>
        <v>1</v>
      </c>
      <c r="M41" t="str">
        <f t="shared" si="12"/>
        <v/>
      </c>
      <c r="O41" s="69">
        <f t="shared" si="9"/>
        <v>5</v>
      </c>
      <c r="P41">
        <f t="shared" si="7"/>
        <v>30</v>
      </c>
      <c r="Q41" t="str">
        <f t="shared" si="8"/>
        <v xml:space="preserve"> </v>
      </c>
    </row>
    <row r="42" spans="1:17" x14ac:dyDescent="0.25">
      <c r="A42">
        <v>0</v>
      </c>
      <c r="E42">
        <v>42</v>
      </c>
      <c r="G42" t="str">
        <f t="shared" si="0"/>
        <v>4</v>
      </c>
      <c r="H42" t="str">
        <f t="shared" si="1"/>
        <v>2</v>
      </c>
      <c r="I42" t="str">
        <f t="shared" si="2"/>
        <v/>
      </c>
      <c r="K42" t="str">
        <f t="shared" si="10"/>
        <v>4</v>
      </c>
      <c r="L42" t="str">
        <f t="shared" si="11"/>
        <v>2</v>
      </c>
      <c r="M42" t="str">
        <f t="shared" si="12"/>
        <v/>
      </c>
      <c r="O42" s="69">
        <f t="shared" si="9"/>
        <v>6</v>
      </c>
      <c r="P42">
        <f t="shared" si="7"/>
        <v>36</v>
      </c>
      <c r="Q42" t="str">
        <f t="shared" si="8"/>
        <v xml:space="preserve"> </v>
      </c>
    </row>
    <row r="43" spans="1:17" x14ac:dyDescent="0.25">
      <c r="A43">
        <v>0</v>
      </c>
      <c r="E43">
        <v>43</v>
      </c>
      <c r="G43" t="str">
        <f t="shared" si="0"/>
        <v>4</v>
      </c>
      <c r="H43" t="str">
        <f t="shared" si="1"/>
        <v>3</v>
      </c>
      <c r="I43" t="str">
        <f t="shared" si="2"/>
        <v/>
      </c>
      <c r="K43" t="str">
        <f t="shared" si="10"/>
        <v>4</v>
      </c>
      <c r="L43" t="str">
        <f t="shared" si="11"/>
        <v>3</v>
      </c>
      <c r="M43" t="str">
        <f t="shared" si="12"/>
        <v/>
      </c>
      <c r="O43" s="69">
        <f t="shared" si="9"/>
        <v>7</v>
      </c>
      <c r="P43">
        <f t="shared" si="7"/>
        <v>42</v>
      </c>
      <c r="Q43" t="str">
        <f t="shared" si="8"/>
        <v xml:space="preserve"> </v>
      </c>
    </row>
    <row r="44" spans="1:17" x14ac:dyDescent="0.25">
      <c r="A44">
        <v>0</v>
      </c>
      <c r="E44">
        <v>44</v>
      </c>
      <c r="G44" t="str">
        <f t="shared" si="0"/>
        <v>4</v>
      </c>
      <c r="H44" t="str">
        <f t="shared" si="1"/>
        <v>4</v>
      </c>
      <c r="I44" t="str">
        <f t="shared" si="2"/>
        <v/>
      </c>
      <c r="K44" t="str">
        <f t="shared" si="10"/>
        <v>4</v>
      </c>
      <c r="L44" t="str">
        <f t="shared" si="11"/>
        <v>4</v>
      </c>
      <c r="M44" t="str">
        <f t="shared" si="12"/>
        <v/>
      </c>
      <c r="O44" s="69">
        <f t="shared" si="9"/>
        <v>8</v>
      </c>
      <c r="P44">
        <f t="shared" si="7"/>
        <v>48</v>
      </c>
      <c r="Q44" t="str">
        <f t="shared" si="8"/>
        <v xml:space="preserve"> </v>
      </c>
    </row>
    <row r="45" spans="1:17" x14ac:dyDescent="0.25">
      <c r="A45">
        <v>0</v>
      </c>
      <c r="E45">
        <v>45</v>
      </c>
      <c r="G45" t="str">
        <f t="shared" si="0"/>
        <v>4</v>
      </c>
      <c r="H45" t="str">
        <f t="shared" si="1"/>
        <v>5</v>
      </c>
      <c r="I45" t="str">
        <f t="shared" si="2"/>
        <v/>
      </c>
      <c r="K45" t="str">
        <f t="shared" si="10"/>
        <v>4</v>
      </c>
      <c r="L45" t="str">
        <f t="shared" si="11"/>
        <v>5</v>
      </c>
      <c r="M45" t="str">
        <f t="shared" si="12"/>
        <v/>
      </c>
      <c r="O45" s="69">
        <f t="shared" si="9"/>
        <v>9</v>
      </c>
      <c r="P45">
        <f t="shared" si="7"/>
        <v>54</v>
      </c>
      <c r="Q45" t="str">
        <f t="shared" si="8"/>
        <v xml:space="preserve"> </v>
      </c>
    </row>
    <row r="46" spans="1:17" x14ac:dyDescent="0.25">
      <c r="A46">
        <v>0</v>
      </c>
      <c r="E46">
        <v>46</v>
      </c>
      <c r="G46" t="str">
        <f t="shared" si="0"/>
        <v>4</v>
      </c>
      <c r="H46" t="str">
        <f t="shared" si="1"/>
        <v>6</v>
      </c>
      <c r="I46" t="str">
        <f t="shared" si="2"/>
        <v/>
      </c>
      <c r="K46" t="str">
        <f t="shared" si="10"/>
        <v>4</v>
      </c>
      <c r="L46" t="str">
        <f t="shared" si="11"/>
        <v>6</v>
      </c>
      <c r="M46" t="str">
        <f t="shared" si="12"/>
        <v/>
      </c>
      <c r="O46" s="69">
        <f t="shared" si="9"/>
        <v>10</v>
      </c>
      <c r="P46">
        <f t="shared" si="7"/>
        <v>60</v>
      </c>
      <c r="Q46" t="str">
        <f t="shared" si="8"/>
        <v xml:space="preserve"> </v>
      </c>
    </row>
    <row r="47" spans="1:17" x14ac:dyDescent="0.25">
      <c r="A47">
        <v>0</v>
      </c>
      <c r="E47">
        <v>47</v>
      </c>
      <c r="G47" t="str">
        <f t="shared" si="0"/>
        <v>4</v>
      </c>
      <c r="H47" t="str">
        <f t="shared" si="1"/>
        <v>7</v>
      </c>
      <c r="I47" t="str">
        <f t="shared" si="2"/>
        <v/>
      </c>
      <c r="K47" t="str">
        <f t="shared" si="10"/>
        <v>4</v>
      </c>
      <c r="L47" t="str">
        <f t="shared" si="11"/>
        <v>7</v>
      </c>
      <c r="M47" t="str">
        <f t="shared" si="12"/>
        <v/>
      </c>
      <c r="O47" s="69">
        <f t="shared" si="9"/>
        <v>11</v>
      </c>
      <c r="P47">
        <f t="shared" si="7"/>
        <v>66</v>
      </c>
      <c r="Q47" t="str">
        <f t="shared" si="8"/>
        <v xml:space="preserve"> </v>
      </c>
    </row>
    <row r="48" spans="1:17" x14ac:dyDescent="0.25">
      <c r="A48">
        <v>0</v>
      </c>
      <c r="E48">
        <v>48</v>
      </c>
      <c r="G48" t="str">
        <f t="shared" si="0"/>
        <v>4</v>
      </c>
      <c r="H48" t="str">
        <f t="shared" si="1"/>
        <v>8</v>
      </c>
      <c r="I48" t="str">
        <f t="shared" si="2"/>
        <v/>
      </c>
      <c r="K48" t="str">
        <f t="shared" si="10"/>
        <v>4</v>
      </c>
      <c r="L48" t="str">
        <f t="shared" si="11"/>
        <v>8</v>
      </c>
      <c r="M48" t="str">
        <f t="shared" si="12"/>
        <v/>
      </c>
      <c r="O48" s="69">
        <f t="shared" si="9"/>
        <v>12</v>
      </c>
      <c r="P48">
        <f t="shared" si="7"/>
        <v>72</v>
      </c>
      <c r="Q48" t="str">
        <f t="shared" si="8"/>
        <v xml:space="preserve"> </v>
      </c>
    </row>
    <row r="49" spans="1:17" x14ac:dyDescent="0.25">
      <c r="A49">
        <v>0</v>
      </c>
      <c r="E49">
        <v>49</v>
      </c>
      <c r="G49" t="str">
        <f t="shared" si="0"/>
        <v>4</v>
      </c>
      <c r="H49" t="str">
        <f t="shared" si="1"/>
        <v>9</v>
      </c>
      <c r="I49" t="str">
        <f t="shared" si="2"/>
        <v/>
      </c>
      <c r="K49" t="str">
        <f t="shared" si="10"/>
        <v>4</v>
      </c>
      <c r="L49" t="str">
        <f t="shared" si="11"/>
        <v>9</v>
      </c>
      <c r="M49" t="str">
        <f t="shared" si="12"/>
        <v/>
      </c>
      <c r="O49" s="69">
        <f t="shared" si="9"/>
        <v>13</v>
      </c>
      <c r="P49">
        <f t="shared" si="7"/>
        <v>78</v>
      </c>
      <c r="Q49" t="str">
        <f t="shared" si="8"/>
        <v xml:space="preserve"> </v>
      </c>
    </row>
    <row r="50" spans="1:17" x14ac:dyDescent="0.25">
      <c r="A50">
        <v>0</v>
      </c>
      <c r="E50">
        <v>50</v>
      </c>
      <c r="G50" t="str">
        <f t="shared" si="0"/>
        <v>5</v>
      </c>
      <c r="H50" t="str">
        <f t="shared" si="1"/>
        <v>0</v>
      </c>
      <c r="I50" t="str">
        <f t="shared" si="2"/>
        <v/>
      </c>
      <c r="K50" t="str">
        <f t="shared" si="10"/>
        <v>5</v>
      </c>
      <c r="L50" t="str">
        <f t="shared" si="11"/>
        <v>0</v>
      </c>
      <c r="M50" t="str">
        <f t="shared" si="12"/>
        <v/>
      </c>
      <c r="O50" s="69">
        <f t="shared" si="9"/>
        <v>5</v>
      </c>
      <c r="P50">
        <f t="shared" si="7"/>
        <v>30</v>
      </c>
      <c r="Q50" t="str">
        <f t="shared" si="8"/>
        <v xml:space="preserve"> </v>
      </c>
    </row>
    <row r="51" spans="1:17" x14ac:dyDescent="0.25">
      <c r="A51">
        <v>0</v>
      </c>
      <c r="E51">
        <v>51</v>
      </c>
      <c r="G51" t="str">
        <f t="shared" si="0"/>
        <v>5</v>
      </c>
      <c r="H51" t="str">
        <f t="shared" si="1"/>
        <v>1</v>
      </c>
      <c r="I51" t="str">
        <f t="shared" si="2"/>
        <v/>
      </c>
      <c r="K51" t="str">
        <f t="shared" si="10"/>
        <v>5</v>
      </c>
      <c r="L51" t="str">
        <f t="shared" si="11"/>
        <v>1</v>
      </c>
      <c r="M51" t="str">
        <f t="shared" si="12"/>
        <v/>
      </c>
      <c r="O51" s="69">
        <f t="shared" si="9"/>
        <v>6</v>
      </c>
      <c r="P51">
        <f t="shared" si="7"/>
        <v>36</v>
      </c>
      <c r="Q51" t="str">
        <f t="shared" si="8"/>
        <v xml:space="preserve"> </v>
      </c>
    </row>
    <row r="52" spans="1:17" x14ac:dyDescent="0.25">
      <c r="A52">
        <v>0</v>
      </c>
      <c r="E52">
        <v>52</v>
      </c>
      <c r="G52" t="str">
        <f t="shared" si="0"/>
        <v>5</v>
      </c>
      <c r="H52" t="str">
        <f t="shared" si="1"/>
        <v>2</v>
      </c>
      <c r="I52" t="str">
        <f t="shared" si="2"/>
        <v/>
      </c>
      <c r="K52" t="str">
        <f t="shared" si="10"/>
        <v>5</v>
      </c>
      <c r="L52" t="str">
        <f t="shared" si="11"/>
        <v>2</v>
      </c>
      <c r="M52" t="str">
        <f t="shared" si="12"/>
        <v/>
      </c>
      <c r="O52" s="69">
        <f t="shared" si="9"/>
        <v>7</v>
      </c>
      <c r="P52">
        <f t="shared" si="7"/>
        <v>42</v>
      </c>
      <c r="Q52" t="str">
        <f t="shared" si="8"/>
        <v xml:space="preserve"> </v>
      </c>
    </row>
    <row r="53" spans="1:17" x14ac:dyDescent="0.25">
      <c r="A53">
        <v>0</v>
      </c>
      <c r="E53">
        <v>53</v>
      </c>
      <c r="G53" t="str">
        <f t="shared" si="0"/>
        <v>5</v>
      </c>
      <c r="H53" t="str">
        <f t="shared" si="1"/>
        <v>3</v>
      </c>
      <c r="I53" t="str">
        <f t="shared" si="2"/>
        <v/>
      </c>
      <c r="K53" t="str">
        <f t="shared" si="10"/>
        <v>5</v>
      </c>
      <c r="L53" t="str">
        <f t="shared" si="11"/>
        <v>3</v>
      </c>
      <c r="M53" t="str">
        <f t="shared" si="12"/>
        <v/>
      </c>
      <c r="O53" s="69">
        <f t="shared" si="9"/>
        <v>8</v>
      </c>
      <c r="P53">
        <f t="shared" si="7"/>
        <v>48</v>
      </c>
      <c r="Q53" t="str">
        <f t="shared" si="8"/>
        <v xml:space="preserve"> </v>
      </c>
    </row>
    <row r="54" spans="1:17" x14ac:dyDescent="0.25">
      <c r="A54">
        <v>0</v>
      </c>
      <c r="E54">
        <v>54</v>
      </c>
      <c r="G54" t="str">
        <f t="shared" si="0"/>
        <v>5</v>
      </c>
      <c r="H54" t="str">
        <f t="shared" si="1"/>
        <v>4</v>
      </c>
      <c r="I54" t="str">
        <f t="shared" si="2"/>
        <v/>
      </c>
      <c r="K54" t="str">
        <f t="shared" si="10"/>
        <v>5</v>
      </c>
      <c r="L54" t="str">
        <f t="shared" si="11"/>
        <v>4</v>
      </c>
      <c r="M54" t="str">
        <f t="shared" si="12"/>
        <v/>
      </c>
      <c r="O54" s="69">
        <f t="shared" si="9"/>
        <v>9</v>
      </c>
      <c r="P54">
        <f t="shared" si="7"/>
        <v>54</v>
      </c>
      <c r="Q54" t="str">
        <f t="shared" si="8"/>
        <v>OK</v>
      </c>
    </row>
    <row r="55" spans="1:17" x14ac:dyDescent="0.25">
      <c r="A55">
        <v>0</v>
      </c>
      <c r="E55">
        <v>55</v>
      </c>
      <c r="G55" t="str">
        <f t="shared" si="0"/>
        <v>5</v>
      </c>
      <c r="H55" t="str">
        <f t="shared" si="1"/>
        <v>5</v>
      </c>
      <c r="I55" t="str">
        <f t="shared" si="2"/>
        <v/>
      </c>
      <c r="K55" t="str">
        <f t="shared" si="10"/>
        <v>5</v>
      </c>
      <c r="L55" t="str">
        <f t="shared" si="11"/>
        <v>5</v>
      </c>
      <c r="M55" t="str">
        <f t="shared" si="12"/>
        <v/>
      </c>
      <c r="O55" s="69">
        <f t="shared" si="9"/>
        <v>10</v>
      </c>
      <c r="P55">
        <f t="shared" si="7"/>
        <v>60</v>
      </c>
      <c r="Q55" t="str">
        <f t="shared" si="8"/>
        <v xml:space="preserve"> </v>
      </c>
    </row>
    <row r="56" spans="1:17" x14ac:dyDescent="0.25">
      <c r="A56">
        <v>0</v>
      </c>
      <c r="E56">
        <v>56</v>
      </c>
      <c r="G56" t="str">
        <f t="shared" si="0"/>
        <v>5</v>
      </c>
      <c r="H56" t="str">
        <f t="shared" si="1"/>
        <v>6</v>
      </c>
      <c r="I56" t="str">
        <f t="shared" si="2"/>
        <v/>
      </c>
      <c r="K56" t="str">
        <f t="shared" si="10"/>
        <v>5</v>
      </c>
      <c r="L56" t="str">
        <f t="shared" si="11"/>
        <v>6</v>
      </c>
      <c r="M56" t="str">
        <f t="shared" si="12"/>
        <v/>
      </c>
      <c r="O56" s="69">
        <f t="shared" si="9"/>
        <v>11</v>
      </c>
      <c r="P56">
        <f t="shared" si="7"/>
        <v>66</v>
      </c>
      <c r="Q56" t="str">
        <f t="shared" si="8"/>
        <v xml:space="preserve"> </v>
      </c>
    </row>
    <row r="57" spans="1:17" x14ac:dyDescent="0.25">
      <c r="A57">
        <v>0</v>
      </c>
      <c r="E57">
        <v>57</v>
      </c>
      <c r="G57" t="str">
        <f t="shared" si="0"/>
        <v>5</v>
      </c>
      <c r="H57" t="str">
        <f t="shared" si="1"/>
        <v>7</v>
      </c>
      <c r="I57" t="str">
        <f t="shared" si="2"/>
        <v/>
      </c>
      <c r="K57" t="str">
        <f t="shared" si="10"/>
        <v>5</v>
      </c>
      <c r="L57" t="str">
        <f t="shared" si="11"/>
        <v>7</v>
      </c>
      <c r="M57" t="str">
        <f t="shared" si="12"/>
        <v/>
      </c>
      <c r="O57" s="69">
        <f t="shared" si="9"/>
        <v>12</v>
      </c>
      <c r="P57">
        <f t="shared" si="7"/>
        <v>72</v>
      </c>
      <c r="Q57" t="str">
        <f t="shared" si="8"/>
        <v xml:space="preserve"> </v>
      </c>
    </row>
    <row r="58" spans="1:17" x14ac:dyDescent="0.25">
      <c r="A58">
        <v>0</v>
      </c>
      <c r="E58">
        <v>58</v>
      </c>
      <c r="G58" t="str">
        <f t="shared" si="0"/>
        <v>5</v>
      </c>
      <c r="H58" t="str">
        <f t="shared" si="1"/>
        <v>8</v>
      </c>
      <c r="I58" t="str">
        <f t="shared" si="2"/>
        <v/>
      </c>
      <c r="K58" t="str">
        <f t="shared" si="10"/>
        <v>5</v>
      </c>
      <c r="L58" t="str">
        <f t="shared" si="11"/>
        <v>8</v>
      </c>
      <c r="M58" t="str">
        <f t="shared" si="12"/>
        <v/>
      </c>
      <c r="O58" s="69">
        <f t="shared" si="9"/>
        <v>13</v>
      </c>
      <c r="P58">
        <f t="shared" si="7"/>
        <v>78</v>
      </c>
      <c r="Q58" t="str">
        <f t="shared" si="8"/>
        <v xml:space="preserve"> </v>
      </c>
    </row>
    <row r="59" spans="1:17" x14ac:dyDescent="0.25">
      <c r="A59">
        <v>0</v>
      </c>
      <c r="E59">
        <v>59</v>
      </c>
      <c r="G59" t="str">
        <f t="shared" si="0"/>
        <v>5</v>
      </c>
      <c r="H59" t="str">
        <f t="shared" si="1"/>
        <v>9</v>
      </c>
      <c r="I59" t="str">
        <f t="shared" si="2"/>
        <v/>
      </c>
      <c r="K59" t="str">
        <f t="shared" si="10"/>
        <v>5</v>
      </c>
      <c r="L59" t="str">
        <f t="shared" si="11"/>
        <v>9</v>
      </c>
      <c r="M59" t="str">
        <f t="shared" si="12"/>
        <v/>
      </c>
      <c r="O59" s="69">
        <f t="shared" si="9"/>
        <v>14</v>
      </c>
      <c r="P59">
        <f t="shared" si="7"/>
        <v>84</v>
      </c>
      <c r="Q59" t="str">
        <f t="shared" si="8"/>
        <v xml:space="preserve"> </v>
      </c>
    </row>
    <row r="60" spans="1:17" x14ac:dyDescent="0.25">
      <c r="A60">
        <v>0</v>
      </c>
      <c r="E60">
        <v>60</v>
      </c>
      <c r="G60" t="str">
        <f t="shared" si="0"/>
        <v>6</v>
      </c>
      <c r="H60" t="str">
        <f t="shared" si="1"/>
        <v>0</v>
      </c>
      <c r="I60" t="str">
        <f t="shared" si="2"/>
        <v/>
      </c>
      <c r="K60" t="str">
        <f t="shared" si="10"/>
        <v>6</v>
      </c>
      <c r="L60" t="str">
        <f t="shared" si="11"/>
        <v>0</v>
      </c>
      <c r="M60" t="str">
        <f t="shared" si="12"/>
        <v/>
      </c>
      <c r="O60" s="69">
        <f t="shared" si="9"/>
        <v>6</v>
      </c>
      <c r="P60">
        <f t="shared" si="7"/>
        <v>36</v>
      </c>
      <c r="Q60" t="str">
        <f t="shared" si="8"/>
        <v xml:space="preserve"> </v>
      </c>
    </row>
    <row r="61" spans="1:17" x14ac:dyDescent="0.25">
      <c r="A61">
        <v>0</v>
      </c>
      <c r="E61">
        <v>61</v>
      </c>
      <c r="G61" t="str">
        <f t="shared" si="0"/>
        <v>6</v>
      </c>
      <c r="H61" t="str">
        <f t="shared" si="1"/>
        <v>1</v>
      </c>
      <c r="I61" t="str">
        <f t="shared" si="2"/>
        <v/>
      </c>
      <c r="K61" t="str">
        <f t="shared" si="10"/>
        <v>6</v>
      </c>
      <c r="L61" t="str">
        <f t="shared" si="11"/>
        <v>1</v>
      </c>
      <c r="M61" t="str">
        <f t="shared" si="12"/>
        <v/>
      </c>
      <c r="O61" s="69">
        <f t="shared" si="9"/>
        <v>7</v>
      </c>
      <c r="P61">
        <f t="shared" si="7"/>
        <v>42</v>
      </c>
      <c r="Q61" t="str">
        <f t="shared" si="8"/>
        <v xml:space="preserve"> </v>
      </c>
    </row>
    <row r="62" spans="1:17" x14ac:dyDescent="0.25">
      <c r="A62">
        <v>0</v>
      </c>
      <c r="E62">
        <v>62</v>
      </c>
      <c r="G62" t="str">
        <f t="shared" si="0"/>
        <v>6</v>
      </c>
      <c r="H62" t="str">
        <f t="shared" si="1"/>
        <v>2</v>
      </c>
      <c r="I62" t="str">
        <f t="shared" si="2"/>
        <v/>
      </c>
      <c r="K62" t="str">
        <f t="shared" si="10"/>
        <v>6</v>
      </c>
      <c r="L62" t="str">
        <f t="shared" si="11"/>
        <v>2</v>
      </c>
      <c r="M62" t="str">
        <f t="shared" si="12"/>
        <v/>
      </c>
      <c r="O62" s="69">
        <f t="shared" si="9"/>
        <v>8</v>
      </c>
      <c r="P62">
        <f t="shared" si="7"/>
        <v>48</v>
      </c>
      <c r="Q62" t="str">
        <f t="shared" si="8"/>
        <v xml:space="preserve"> </v>
      </c>
    </row>
    <row r="63" spans="1:17" x14ac:dyDescent="0.25">
      <c r="A63">
        <v>0</v>
      </c>
      <c r="E63">
        <v>63</v>
      </c>
      <c r="G63" t="str">
        <f t="shared" si="0"/>
        <v>6</v>
      </c>
      <c r="H63" t="str">
        <f t="shared" si="1"/>
        <v>3</v>
      </c>
      <c r="I63" t="str">
        <f t="shared" si="2"/>
        <v/>
      </c>
      <c r="K63" t="str">
        <f t="shared" si="10"/>
        <v>6</v>
      </c>
      <c r="L63" t="str">
        <f t="shared" si="11"/>
        <v>3</v>
      </c>
      <c r="M63" t="str">
        <f t="shared" si="12"/>
        <v/>
      </c>
      <c r="O63" s="69">
        <f t="shared" si="9"/>
        <v>9</v>
      </c>
      <c r="P63">
        <f t="shared" si="7"/>
        <v>54</v>
      </c>
      <c r="Q63" t="str">
        <f t="shared" si="8"/>
        <v xml:space="preserve"> </v>
      </c>
    </row>
    <row r="64" spans="1:17" x14ac:dyDescent="0.25">
      <c r="A64">
        <v>0</v>
      </c>
      <c r="E64">
        <v>64</v>
      </c>
      <c r="G64" t="str">
        <f t="shared" si="0"/>
        <v>6</v>
      </c>
      <c r="H64" t="str">
        <f t="shared" si="1"/>
        <v>4</v>
      </c>
      <c r="I64" t="str">
        <f t="shared" si="2"/>
        <v/>
      </c>
      <c r="K64" t="str">
        <f t="shared" si="10"/>
        <v>6</v>
      </c>
      <c r="L64" t="str">
        <f t="shared" si="11"/>
        <v>4</v>
      </c>
      <c r="M64" t="str">
        <f t="shared" si="12"/>
        <v/>
      </c>
      <c r="O64" s="69">
        <f t="shared" si="9"/>
        <v>10</v>
      </c>
      <c r="P64">
        <f t="shared" si="7"/>
        <v>60</v>
      </c>
      <c r="Q64" t="str">
        <f t="shared" si="8"/>
        <v xml:space="preserve"> </v>
      </c>
    </row>
    <row r="65" spans="1:17" x14ac:dyDescent="0.25">
      <c r="A65">
        <v>0</v>
      </c>
      <c r="E65">
        <v>65</v>
      </c>
      <c r="G65" t="str">
        <f t="shared" si="0"/>
        <v>6</v>
      </c>
      <c r="H65" t="str">
        <f t="shared" si="1"/>
        <v>5</v>
      </c>
      <c r="I65" t="str">
        <f t="shared" si="2"/>
        <v/>
      </c>
      <c r="K65" t="str">
        <f t="shared" si="10"/>
        <v>6</v>
      </c>
      <c r="L65" t="str">
        <f t="shared" si="11"/>
        <v>5</v>
      </c>
      <c r="M65" t="str">
        <f t="shared" si="12"/>
        <v/>
      </c>
      <c r="O65" s="69">
        <f t="shared" si="9"/>
        <v>11</v>
      </c>
      <c r="P65">
        <f t="shared" si="7"/>
        <v>66</v>
      </c>
      <c r="Q65" t="str">
        <f t="shared" si="8"/>
        <v xml:space="preserve"> </v>
      </c>
    </row>
    <row r="66" spans="1:17" x14ac:dyDescent="0.25">
      <c r="A66">
        <v>0</v>
      </c>
      <c r="E66">
        <v>66</v>
      </c>
      <c r="G66" t="str">
        <f t="shared" ref="G66:G129" si="13">+MID(E66,1,1)</f>
        <v>6</v>
      </c>
      <c r="H66" t="str">
        <f t="shared" ref="H66:H129" si="14">+MID(E66,2,1)</f>
        <v>6</v>
      </c>
      <c r="I66" t="str">
        <f t="shared" ref="I66:I129" si="15">+MID(E66,3,1)</f>
        <v/>
      </c>
      <c r="K66" t="str">
        <f t="shared" si="10"/>
        <v>6</v>
      </c>
      <c r="L66" t="str">
        <f t="shared" si="11"/>
        <v>6</v>
      </c>
      <c r="M66" t="str">
        <f t="shared" si="12"/>
        <v/>
      </c>
      <c r="O66" s="69">
        <f t="shared" si="9"/>
        <v>12</v>
      </c>
      <c r="P66">
        <f t="shared" ref="P66:P129" si="16">+O66*6</f>
        <v>72</v>
      </c>
      <c r="Q66" t="str">
        <f t="shared" ref="Q66:Q129" si="17">+IF(P66=E66,"OK"," ")</f>
        <v xml:space="preserve"> </v>
      </c>
    </row>
    <row r="67" spans="1:17" x14ac:dyDescent="0.25">
      <c r="A67">
        <v>0</v>
      </c>
      <c r="E67">
        <v>67</v>
      </c>
      <c r="G67" t="str">
        <f t="shared" si="13"/>
        <v>6</v>
      </c>
      <c r="H67" t="str">
        <f t="shared" si="14"/>
        <v>7</v>
      </c>
      <c r="I67" t="str">
        <f t="shared" si="15"/>
        <v/>
      </c>
      <c r="K67" t="str">
        <f t="shared" si="10"/>
        <v>6</v>
      </c>
      <c r="L67" t="str">
        <f t="shared" si="11"/>
        <v>7</v>
      </c>
      <c r="M67" t="str">
        <f t="shared" si="12"/>
        <v/>
      </c>
      <c r="O67" s="69">
        <f t="shared" si="9"/>
        <v>13</v>
      </c>
      <c r="P67">
        <f t="shared" si="16"/>
        <v>78</v>
      </c>
      <c r="Q67" t="str">
        <f t="shared" si="17"/>
        <v xml:space="preserve"> </v>
      </c>
    </row>
    <row r="68" spans="1:17" x14ac:dyDescent="0.25">
      <c r="A68">
        <v>0</v>
      </c>
      <c r="E68">
        <v>68</v>
      </c>
      <c r="G68" t="str">
        <f t="shared" si="13"/>
        <v>6</v>
      </c>
      <c r="H68" t="str">
        <f t="shared" si="14"/>
        <v>8</v>
      </c>
      <c r="I68" t="str">
        <f t="shared" si="15"/>
        <v/>
      </c>
      <c r="K68" t="str">
        <f t="shared" si="10"/>
        <v>6</v>
      </c>
      <c r="L68" t="str">
        <f t="shared" si="11"/>
        <v>8</v>
      </c>
      <c r="M68" t="str">
        <f t="shared" si="12"/>
        <v/>
      </c>
      <c r="O68" s="69">
        <f t="shared" si="9"/>
        <v>14</v>
      </c>
      <c r="P68">
        <f t="shared" si="16"/>
        <v>84</v>
      </c>
      <c r="Q68" t="str">
        <f t="shared" si="17"/>
        <v xml:space="preserve"> </v>
      </c>
    </row>
    <row r="69" spans="1:17" x14ac:dyDescent="0.25">
      <c r="A69">
        <v>0</v>
      </c>
      <c r="E69">
        <v>69</v>
      </c>
      <c r="G69" t="str">
        <f t="shared" si="13"/>
        <v>6</v>
      </c>
      <c r="H69" t="str">
        <f t="shared" si="14"/>
        <v>9</v>
      </c>
      <c r="I69" t="str">
        <f t="shared" si="15"/>
        <v/>
      </c>
      <c r="K69" t="str">
        <f t="shared" si="10"/>
        <v>6</v>
      </c>
      <c r="L69" t="str">
        <f t="shared" si="11"/>
        <v>9</v>
      </c>
      <c r="M69" t="str">
        <f t="shared" si="12"/>
        <v/>
      </c>
      <c r="O69" s="69">
        <f t="shared" si="9"/>
        <v>15</v>
      </c>
      <c r="P69">
        <f t="shared" si="16"/>
        <v>90</v>
      </c>
      <c r="Q69" t="str">
        <f t="shared" si="17"/>
        <v xml:space="preserve"> </v>
      </c>
    </row>
    <row r="70" spans="1:17" x14ac:dyDescent="0.25">
      <c r="A70">
        <v>0</v>
      </c>
      <c r="E70">
        <v>70</v>
      </c>
      <c r="G70" t="str">
        <f t="shared" si="13"/>
        <v>7</v>
      </c>
      <c r="H70" t="str">
        <f t="shared" si="14"/>
        <v>0</v>
      </c>
      <c r="I70" t="str">
        <f t="shared" si="15"/>
        <v/>
      </c>
      <c r="K70" t="str">
        <f t="shared" si="10"/>
        <v>7</v>
      </c>
      <c r="L70" t="str">
        <f t="shared" si="11"/>
        <v>0</v>
      </c>
      <c r="M70" t="str">
        <f t="shared" si="12"/>
        <v/>
      </c>
      <c r="O70" s="69">
        <f t="shared" si="9"/>
        <v>7</v>
      </c>
      <c r="P70">
        <f t="shared" si="16"/>
        <v>42</v>
      </c>
      <c r="Q70" t="str">
        <f t="shared" si="17"/>
        <v xml:space="preserve"> </v>
      </c>
    </row>
    <row r="71" spans="1:17" x14ac:dyDescent="0.25">
      <c r="A71">
        <v>0</v>
      </c>
      <c r="E71">
        <v>71</v>
      </c>
      <c r="G71" t="str">
        <f t="shared" si="13"/>
        <v>7</v>
      </c>
      <c r="H71" t="str">
        <f t="shared" si="14"/>
        <v>1</v>
      </c>
      <c r="I71" t="str">
        <f t="shared" si="15"/>
        <v/>
      </c>
      <c r="K71" t="str">
        <f t="shared" si="10"/>
        <v>7</v>
      </c>
      <c r="L71" t="str">
        <f t="shared" si="11"/>
        <v>1</v>
      </c>
      <c r="M71" t="str">
        <f t="shared" si="12"/>
        <v/>
      </c>
      <c r="O71" s="69">
        <f t="shared" si="9"/>
        <v>8</v>
      </c>
      <c r="P71">
        <f t="shared" si="16"/>
        <v>48</v>
      </c>
      <c r="Q71" t="str">
        <f t="shared" si="17"/>
        <v xml:space="preserve"> </v>
      </c>
    </row>
    <row r="72" spans="1:17" x14ac:dyDescent="0.25">
      <c r="A72">
        <v>0</v>
      </c>
      <c r="E72">
        <v>72</v>
      </c>
      <c r="G72" t="str">
        <f t="shared" si="13"/>
        <v>7</v>
      </c>
      <c r="H72" t="str">
        <f t="shared" si="14"/>
        <v>2</v>
      </c>
      <c r="I72" t="str">
        <f t="shared" si="15"/>
        <v/>
      </c>
      <c r="K72" t="str">
        <f t="shared" si="10"/>
        <v>7</v>
      </c>
      <c r="L72" t="str">
        <f t="shared" si="11"/>
        <v>2</v>
      </c>
      <c r="M72" t="str">
        <f t="shared" si="12"/>
        <v/>
      </c>
      <c r="O72" s="69">
        <f t="shared" si="9"/>
        <v>9</v>
      </c>
      <c r="P72">
        <f t="shared" si="16"/>
        <v>54</v>
      </c>
      <c r="Q72" t="str">
        <f t="shared" si="17"/>
        <v xml:space="preserve"> </v>
      </c>
    </row>
    <row r="73" spans="1:17" x14ac:dyDescent="0.25">
      <c r="A73">
        <v>0</v>
      </c>
      <c r="E73">
        <v>73</v>
      </c>
      <c r="G73" t="str">
        <f t="shared" si="13"/>
        <v>7</v>
      </c>
      <c r="H73" t="str">
        <f t="shared" si="14"/>
        <v>3</v>
      </c>
      <c r="I73" t="str">
        <f t="shared" si="15"/>
        <v/>
      </c>
      <c r="K73" t="str">
        <f t="shared" si="10"/>
        <v>7</v>
      </c>
      <c r="L73" t="str">
        <f t="shared" si="11"/>
        <v>3</v>
      </c>
      <c r="M73" t="str">
        <f t="shared" si="12"/>
        <v/>
      </c>
      <c r="O73" s="69">
        <f t="shared" si="9"/>
        <v>10</v>
      </c>
      <c r="P73">
        <f t="shared" si="16"/>
        <v>60</v>
      </c>
      <c r="Q73" t="str">
        <f t="shared" si="17"/>
        <v xml:space="preserve"> </v>
      </c>
    </row>
    <row r="74" spans="1:17" x14ac:dyDescent="0.25">
      <c r="A74">
        <v>0</v>
      </c>
      <c r="E74">
        <v>74</v>
      </c>
      <c r="G74" t="str">
        <f t="shared" si="13"/>
        <v>7</v>
      </c>
      <c r="H74" t="str">
        <f t="shared" si="14"/>
        <v>4</v>
      </c>
      <c r="I74" t="str">
        <f t="shared" si="15"/>
        <v/>
      </c>
      <c r="K74" t="str">
        <f t="shared" si="10"/>
        <v>7</v>
      </c>
      <c r="L74" t="str">
        <f t="shared" si="11"/>
        <v>4</v>
      </c>
      <c r="M74" t="str">
        <f t="shared" si="12"/>
        <v/>
      </c>
      <c r="O74" s="69">
        <f t="shared" si="9"/>
        <v>11</v>
      </c>
      <c r="P74">
        <f t="shared" si="16"/>
        <v>66</v>
      </c>
      <c r="Q74" t="str">
        <f t="shared" si="17"/>
        <v xml:space="preserve"> </v>
      </c>
    </row>
    <row r="75" spans="1:17" x14ac:dyDescent="0.25">
      <c r="A75">
        <v>0</v>
      </c>
      <c r="E75">
        <v>75</v>
      </c>
      <c r="G75" t="str">
        <f t="shared" si="13"/>
        <v>7</v>
      </c>
      <c r="H75" t="str">
        <f t="shared" si="14"/>
        <v>5</v>
      </c>
      <c r="I75" t="str">
        <f t="shared" si="15"/>
        <v/>
      </c>
      <c r="K75" t="str">
        <f t="shared" si="10"/>
        <v>7</v>
      </c>
      <c r="L75" t="str">
        <f t="shared" si="11"/>
        <v>5</v>
      </c>
      <c r="M75" t="str">
        <f t="shared" si="12"/>
        <v/>
      </c>
      <c r="O75" s="69">
        <f t="shared" ref="O75:O99" si="18">+K75+L75</f>
        <v>12</v>
      </c>
      <c r="P75">
        <f t="shared" si="16"/>
        <v>72</v>
      </c>
      <c r="Q75" t="str">
        <f t="shared" si="17"/>
        <v xml:space="preserve"> </v>
      </c>
    </row>
    <row r="76" spans="1:17" x14ac:dyDescent="0.25">
      <c r="A76">
        <v>0</v>
      </c>
      <c r="E76">
        <v>76</v>
      </c>
      <c r="G76" t="str">
        <f t="shared" si="13"/>
        <v>7</v>
      </c>
      <c r="H76" t="str">
        <f t="shared" si="14"/>
        <v>6</v>
      </c>
      <c r="I76" t="str">
        <f t="shared" si="15"/>
        <v/>
      </c>
      <c r="K76" t="str">
        <f t="shared" si="10"/>
        <v>7</v>
      </c>
      <c r="L76" t="str">
        <f t="shared" si="11"/>
        <v>6</v>
      </c>
      <c r="M76" t="str">
        <f t="shared" si="12"/>
        <v/>
      </c>
      <c r="O76" s="69">
        <f t="shared" si="18"/>
        <v>13</v>
      </c>
      <c r="P76">
        <f t="shared" si="16"/>
        <v>78</v>
      </c>
      <c r="Q76" t="str">
        <f t="shared" si="17"/>
        <v xml:space="preserve"> </v>
      </c>
    </row>
    <row r="77" spans="1:17" x14ac:dyDescent="0.25">
      <c r="A77">
        <v>0</v>
      </c>
      <c r="E77">
        <v>77</v>
      </c>
      <c r="G77" t="str">
        <f t="shared" si="13"/>
        <v>7</v>
      </c>
      <c r="H77" t="str">
        <f t="shared" si="14"/>
        <v>7</v>
      </c>
      <c r="I77" t="str">
        <f t="shared" si="15"/>
        <v/>
      </c>
      <c r="K77" t="str">
        <f t="shared" si="10"/>
        <v>7</v>
      </c>
      <c r="L77" t="str">
        <f t="shared" si="11"/>
        <v>7</v>
      </c>
      <c r="M77" t="str">
        <f t="shared" si="12"/>
        <v/>
      </c>
      <c r="O77" s="69">
        <f t="shared" si="18"/>
        <v>14</v>
      </c>
      <c r="P77">
        <f t="shared" si="16"/>
        <v>84</v>
      </c>
      <c r="Q77" t="str">
        <f t="shared" si="17"/>
        <v xml:space="preserve"> </v>
      </c>
    </row>
    <row r="78" spans="1:17" x14ac:dyDescent="0.25">
      <c r="A78">
        <v>0</v>
      </c>
      <c r="E78">
        <v>78</v>
      </c>
      <c r="G78" t="str">
        <f t="shared" si="13"/>
        <v>7</v>
      </c>
      <c r="H78" t="str">
        <f t="shared" si="14"/>
        <v>8</v>
      </c>
      <c r="I78" t="str">
        <f t="shared" si="15"/>
        <v/>
      </c>
      <c r="K78" t="str">
        <f t="shared" si="10"/>
        <v>7</v>
      </c>
      <c r="L78" t="str">
        <f t="shared" si="11"/>
        <v>8</v>
      </c>
      <c r="M78" t="str">
        <f t="shared" si="12"/>
        <v/>
      </c>
      <c r="O78" s="69">
        <f t="shared" si="18"/>
        <v>15</v>
      </c>
      <c r="P78">
        <f t="shared" si="16"/>
        <v>90</v>
      </c>
      <c r="Q78" t="str">
        <f t="shared" si="17"/>
        <v xml:space="preserve"> </v>
      </c>
    </row>
    <row r="79" spans="1:17" x14ac:dyDescent="0.25">
      <c r="A79">
        <v>0</v>
      </c>
      <c r="E79">
        <v>79</v>
      </c>
      <c r="G79" t="str">
        <f t="shared" si="13"/>
        <v>7</v>
      </c>
      <c r="H79" t="str">
        <f t="shared" si="14"/>
        <v>9</v>
      </c>
      <c r="I79" t="str">
        <f t="shared" si="15"/>
        <v/>
      </c>
      <c r="K79" t="str">
        <f t="shared" si="10"/>
        <v>7</v>
      </c>
      <c r="L79" t="str">
        <f t="shared" si="11"/>
        <v>9</v>
      </c>
      <c r="M79" t="str">
        <f t="shared" si="12"/>
        <v/>
      </c>
      <c r="O79" s="69">
        <f t="shared" si="18"/>
        <v>16</v>
      </c>
      <c r="P79">
        <f t="shared" si="16"/>
        <v>96</v>
      </c>
      <c r="Q79" t="str">
        <f t="shared" si="17"/>
        <v xml:space="preserve"> </v>
      </c>
    </row>
    <row r="80" spans="1:17" x14ac:dyDescent="0.25">
      <c r="A80">
        <v>0</v>
      </c>
      <c r="E80">
        <v>80</v>
      </c>
      <c r="G80" t="str">
        <f t="shared" si="13"/>
        <v>8</v>
      </c>
      <c r="H80" t="str">
        <f t="shared" si="14"/>
        <v>0</v>
      </c>
      <c r="I80" t="str">
        <f t="shared" si="15"/>
        <v/>
      </c>
      <c r="K80" t="str">
        <f t="shared" si="10"/>
        <v>8</v>
      </c>
      <c r="L80" t="str">
        <f t="shared" si="11"/>
        <v>0</v>
      </c>
      <c r="M80" t="str">
        <f t="shared" si="12"/>
        <v/>
      </c>
      <c r="O80" s="69">
        <f t="shared" si="18"/>
        <v>8</v>
      </c>
      <c r="P80">
        <f t="shared" si="16"/>
        <v>48</v>
      </c>
      <c r="Q80" t="str">
        <f t="shared" si="17"/>
        <v xml:space="preserve"> </v>
      </c>
    </row>
    <row r="81" spans="1:17" x14ac:dyDescent="0.25">
      <c r="A81">
        <v>0</v>
      </c>
      <c r="E81">
        <v>81</v>
      </c>
      <c r="G81" t="str">
        <f t="shared" si="13"/>
        <v>8</v>
      </c>
      <c r="H81" t="str">
        <f t="shared" si="14"/>
        <v>1</v>
      </c>
      <c r="I81" t="str">
        <f t="shared" si="15"/>
        <v/>
      </c>
      <c r="K81" t="str">
        <f t="shared" si="10"/>
        <v>8</v>
      </c>
      <c r="L81" t="str">
        <f t="shared" si="11"/>
        <v>1</v>
      </c>
      <c r="M81" t="str">
        <f t="shared" si="12"/>
        <v/>
      </c>
      <c r="O81" s="69">
        <f t="shared" si="18"/>
        <v>9</v>
      </c>
      <c r="P81">
        <f t="shared" si="16"/>
        <v>54</v>
      </c>
      <c r="Q81" t="str">
        <f t="shared" si="17"/>
        <v xml:space="preserve"> </v>
      </c>
    </row>
    <row r="82" spans="1:17" x14ac:dyDescent="0.25">
      <c r="A82">
        <v>0</v>
      </c>
      <c r="E82">
        <v>82</v>
      </c>
      <c r="G82" t="str">
        <f t="shared" si="13"/>
        <v>8</v>
      </c>
      <c r="H82" t="str">
        <f t="shared" si="14"/>
        <v>2</v>
      </c>
      <c r="I82" t="str">
        <f t="shared" si="15"/>
        <v/>
      </c>
      <c r="K82" t="str">
        <f t="shared" ref="K82:K145" si="19">+G82</f>
        <v>8</v>
      </c>
      <c r="L82" t="str">
        <f t="shared" ref="L82:L145" si="20">+H82</f>
        <v>2</v>
      </c>
      <c r="M82" t="str">
        <f t="shared" ref="M82:M145" si="21">+I82</f>
        <v/>
      </c>
      <c r="O82" s="69">
        <f t="shared" si="18"/>
        <v>10</v>
      </c>
      <c r="P82">
        <f t="shared" si="16"/>
        <v>60</v>
      </c>
      <c r="Q82" t="str">
        <f t="shared" si="17"/>
        <v xml:space="preserve"> </v>
      </c>
    </row>
    <row r="83" spans="1:17" x14ac:dyDescent="0.25">
      <c r="A83">
        <v>0</v>
      </c>
      <c r="E83">
        <v>83</v>
      </c>
      <c r="G83" t="str">
        <f t="shared" si="13"/>
        <v>8</v>
      </c>
      <c r="H83" t="str">
        <f t="shared" si="14"/>
        <v>3</v>
      </c>
      <c r="I83" t="str">
        <f t="shared" si="15"/>
        <v/>
      </c>
      <c r="K83" t="str">
        <f t="shared" si="19"/>
        <v>8</v>
      </c>
      <c r="L83" t="str">
        <f t="shared" si="20"/>
        <v>3</v>
      </c>
      <c r="M83" t="str">
        <f t="shared" si="21"/>
        <v/>
      </c>
      <c r="O83" s="69">
        <f t="shared" si="18"/>
        <v>11</v>
      </c>
      <c r="P83">
        <f t="shared" si="16"/>
        <v>66</v>
      </c>
      <c r="Q83" t="str">
        <f t="shared" si="17"/>
        <v xml:space="preserve"> </v>
      </c>
    </row>
    <row r="84" spans="1:17" x14ac:dyDescent="0.25">
      <c r="A84">
        <v>0</v>
      </c>
      <c r="E84">
        <v>84</v>
      </c>
      <c r="G84" t="str">
        <f t="shared" si="13"/>
        <v>8</v>
      </c>
      <c r="H84" t="str">
        <f t="shared" si="14"/>
        <v>4</v>
      </c>
      <c r="I84" t="str">
        <f t="shared" si="15"/>
        <v/>
      </c>
      <c r="K84" t="str">
        <f t="shared" si="19"/>
        <v>8</v>
      </c>
      <c r="L84" t="str">
        <f t="shared" si="20"/>
        <v>4</v>
      </c>
      <c r="M84" t="str">
        <f t="shared" si="21"/>
        <v/>
      </c>
      <c r="O84" s="69">
        <f t="shared" si="18"/>
        <v>12</v>
      </c>
      <c r="P84">
        <f t="shared" si="16"/>
        <v>72</v>
      </c>
      <c r="Q84" t="str">
        <f t="shared" si="17"/>
        <v xml:space="preserve"> </v>
      </c>
    </row>
    <row r="85" spans="1:17" x14ac:dyDescent="0.25">
      <c r="A85">
        <v>0</v>
      </c>
      <c r="E85">
        <v>85</v>
      </c>
      <c r="G85" t="str">
        <f t="shared" si="13"/>
        <v>8</v>
      </c>
      <c r="H85" t="str">
        <f t="shared" si="14"/>
        <v>5</v>
      </c>
      <c r="I85" t="str">
        <f t="shared" si="15"/>
        <v/>
      </c>
      <c r="K85" t="str">
        <f t="shared" si="19"/>
        <v>8</v>
      </c>
      <c r="L85" t="str">
        <f t="shared" si="20"/>
        <v>5</v>
      </c>
      <c r="M85" t="str">
        <f t="shared" si="21"/>
        <v/>
      </c>
      <c r="O85" s="69">
        <f t="shared" si="18"/>
        <v>13</v>
      </c>
      <c r="P85">
        <f t="shared" si="16"/>
        <v>78</v>
      </c>
      <c r="Q85" t="str">
        <f t="shared" si="17"/>
        <v xml:space="preserve"> </v>
      </c>
    </row>
    <row r="86" spans="1:17" x14ac:dyDescent="0.25">
      <c r="A86">
        <v>0</v>
      </c>
      <c r="E86">
        <v>86</v>
      </c>
      <c r="G86" t="str">
        <f t="shared" si="13"/>
        <v>8</v>
      </c>
      <c r="H86" t="str">
        <f t="shared" si="14"/>
        <v>6</v>
      </c>
      <c r="I86" t="str">
        <f t="shared" si="15"/>
        <v/>
      </c>
      <c r="K86" t="str">
        <f t="shared" si="19"/>
        <v>8</v>
      </c>
      <c r="L86" t="str">
        <f t="shared" si="20"/>
        <v>6</v>
      </c>
      <c r="M86" t="str">
        <f t="shared" si="21"/>
        <v/>
      </c>
      <c r="O86" s="69">
        <f t="shared" si="18"/>
        <v>14</v>
      </c>
      <c r="P86">
        <f t="shared" si="16"/>
        <v>84</v>
      </c>
      <c r="Q86" t="str">
        <f t="shared" si="17"/>
        <v xml:space="preserve"> </v>
      </c>
    </row>
    <row r="87" spans="1:17" x14ac:dyDescent="0.25">
      <c r="A87">
        <v>0</v>
      </c>
      <c r="E87">
        <v>87</v>
      </c>
      <c r="G87" t="str">
        <f t="shared" si="13"/>
        <v>8</v>
      </c>
      <c r="H87" t="str">
        <f t="shared" si="14"/>
        <v>7</v>
      </c>
      <c r="I87" t="str">
        <f t="shared" si="15"/>
        <v/>
      </c>
      <c r="K87" t="str">
        <f t="shared" si="19"/>
        <v>8</v>
      </c>
      <c r="L87" t="str">
        <f t="shared" si="20"/>
        <v>7</v>
      </c>
      <c r="M87" t="str">
        <f t="shared" si="21"/>
        <v/>
      </c>
      <c r="O87" s="69">
        <f t="shared" si="18"/>
        <v>15</v>
      </c>
      <c r="P87">
        <f t="shared" si="16"/>
        <v>90</v>
      </c>
      <c r="Q87" t="str">
        <f t="shared" si="17"/>
        <v xml:space="preserve"> </v>
      </c>
    </row>
    <row r="88" spans="1:17" x14ac:dyDescent="0.25">
      <c r="A88">
        <v>0</v>
      </c>
      <c r="E88">
        <v>88</v>
      </c>
      <c r="G88" t="str">
        <f t="shared" si="13"/>
        <v>8</v>
      </c>
      <c r="H88" t="str">
        <f t="shared" si="14"/>
        <v>8</v>
      </c>
      <c r="I88" t="str">
        <f t="shared" si="15"/>
        <v/>
      </c>
      <c r="K88" t="str">
        <f t="shared" si="19"/>
        <v>8</v>
      </c>
      <c r="L88" t="str">
        <f t="shared" si="20"/>
        <v>8</v>
      </c>
      <c r="M88" t="str">
        <f t="shared" si="21"/>
        <v/>
      </c>
      <c r="O88" s="69">
        <f t="shared" si="18"/>
        <v>16</v>
      </c>
      <c r="P88">
        <f t="shared" si="16"/>
        <v>96</v>
      </c>
      <c r="Q88" t="str">
        <f t="shared" si="17"/>
        <v xml:space="preserve"> </v>
      </c>
    </row>
    <row r="89" spans="1:17" x14ac:dyDescent="0.25">
      <c r="A89">
        <v>0</v>
      </c>
      <c r="E89">
        <v>89</v>
      </c>
      <c r="G89" t="str">
        <f t="shared" si="13"/>
        <v>8</v>
      </c>
      <c r="H89" t="str">
        <f t="shared" si="14"/>
        <v>9</v>
      </c>
      <c r="I89" t="str">
        <f t="shared" si="15"/>
        <v/>
      </c>
      <c r="K89" t="str">
        <f t="shared" si="19"/>
        <v>8</v>
      </c>
      <c r="L89" t="str">
        <f t="shared" si="20"/>
        <v>9</v>
      </c>
      <c r="M89" t="str">
        <f t="shared" si="21"/>
        <v/>
      </c>
      <c r="O89" s="69">
        <f t="shared" si="18"/>
        <v>17</v>
      </c>
      <c r="P89">
        <f t="shared" si="16"/>
        <v>102</v>
      </c>
      <c r="Q89" t="str">
        <f t="shared" si="17"/>
        <v xml:space="preserve"> </v>
      </c>
    </row>
    <row r="90" spans="1:17" x14ac:dyDescent="0.25">
      <c r="A90">
        <v>0</v>
      </c>
      <c r="E90">
        <v>90</v>
      </c>
      <c r="G90" t="str">
        <f t="shared" si="13"/>
        <v>9</v>
      </c>
      <c r="H90" t="str">
        <f t="shared" si="14"/>
        <v>0</v>
      </c>
      <c r="I90" t="str">
        <f t="shared" si="15"/>
        <v/>
      </c>
      <c r="K90" t="str">
        <f t="shared" si="19"/>
        <v>9</v>
      </c>
      <c r="L90" t="str">
        <f t="shared" si="20"/>
        <v>0</v>
      </c>
      <c r="M90" t="str">
        <f t="shared" si="21"/>
        <v/>
      </c>
      <c r="O90" s="69">
        <f t="shared" si="18"/>
        <v>9</v>
      </c>
      <c r="P90">
        <f t="shared" si="16"/>
        <v>54</v>
      </c>
      <c r="Q90" t="str">
        <f t="shared" si="17"/>
        <v xml:space="preserve"> </v>
      </c>
    </row>
    <row r="91" spans="1:17" x14ac:dyDescent="0.25">
      <c r="A91">
        <v>0</v>
      </c>
      <c r="E91">
        <v>91</v>
      </c>
      <c r="G91" t="str">
        <f t="shared" si="13"/>
        <v>9</v>
      </c>
      <c r="H91" t="str">
        <f t="shared" si="14"/>
        <v>1</v>
      </c>
      <c r="I91" t="str">
        <f t="shared" si="15"/>
        <v/>
      </c>
      <c r="K91" t="str">
        <f t="shared" si="19"/>
        <v>9</v>
      </c>
      <c r="L91" t="str">
        <f t="shared" si="20"/>
        <v>1</v>
      </c>
      <c r="M91" t="str">
        <f t="shared" si="21"/>
        <v/>
      </c>
      <c r="O91" s="69">
        <f t="shared" si="18"/>
        <v>10</v>
      </c>
      <c r="P91">
        <f t="shared" si="16"/>
        <v>60</v>
      </c>
      <c r="Q91" t="str">
        <f t="shared" si="17"/>
        <v xml:space="preserve"> </v>
      </c>
    </row>
    <row r="92" spans="1:17" x14ac:dyDescent="0.25">
      <c r="A92">
        <v>0</v>
      </c>
      <c r="E92">
        <v>92</v>
      </c>
      <c r="G92" t="str">
        <f t="shared" si="13"/>
        <v>9</v>
      </c>
      <c r="H92" t="str">
        <f t="shared" si="14"/>
        <v>2</v>
      </c>
      <c r="I92" t="str">
        <f t="shared" si="15"/>
        <v/>
      </c>
      <c r="K92" t="str">
        <f t="shared" si="19"/>
        <v>9</v>
      </c>
      <c r="L92" t="str">
        <f t="shared" si="20"/>
        <v>2</v>
      </c>
      <c r="M92" t="str">
        <f t="shared" si="21"/>
        <v/>
      </c>
      <c r="O92" s="69">
        <f t="shared" si="18"/>
        <v>11</v>
      </c>
      <c r="P92">
        <f t="shared" si="16"/>
        <v>66</v>
      </c>
      <c r="Q92" t="str">
        <f t="shared" si="17"/>
        <v xml:space="preserve"> </v>
      </c>
    </row>
    <row r="93" spans="1:17" x14ac:dyDescent="0.25">
      <c r="A93">
        <v>0</v>
      </c>
      <c r="E93">
        <v>93</v>
      </c>
      <c r="G93" t="str">
        <f t="shared" si="13"/>
        <v>9</v>
      </c>
      <c r="H93" t="str">
        <f t="shared" si="14"/>
        <v>3</v>
      </c>
      <c r="I93" t="str">
        <f t="shared" si="15"/>
        <v/>
      </c>
      <c r="K93" t="str">
        <f t="shared" si="19"/>
        <v>9</v>
      </c>
      <c r="L93" t="str">
        <f t="shared" si="20"/>
        <v>3</v>
      </c>
      <c r="M93" t="str">
        <f t="shared" si="21"/>
        <v/>
      </c>
      <c r="O93" s="69">
        <f t="shared" si="18"/>
        <v>12</v>
      </c>
      <c r="P93">
        <f t="shared" si="16"/>
        <v>72</v>
      </c>
      <c r="Q93" t="str">
        <f t="shared" si="17"/>
        <v xml:space="preserve"> </v>
      </c>
    </row>
    <row r="94" spans="1:17" x14ac:dyDescent="0.25">
      <c r="A94">
        <v>0</v>
      </c>
      <c r="E94">
        <v>94</v>
      </c>
      <c r="G94" t="str">
        <f t="shared" si="13"/>
        <v>9</v>
      </c>
      <c r="H94" t="str">
        <f t="shared" si="14"/>
        <v>4</v>
      </c>
      <c r="I94" t="str">
        <f t="shared" si="15"/>
        <v/>
      </c>
      <c r="K94" t="str">
        <f t="shared" si="19"/>
        <v>9</v>
      </c>
      <c r="L94" t="str">
        <f t="shared" si="20"/>
        <v>4</v>
      </c>
      <c r="M94" t="str">
        <f t="shared" si="21"/>
        <v/>
      </c>
      <c r="O94" s="69">
        <f t="shared" si="18"/>
        <v>13</v>
      </c>
      <c r="P94">
        <f t="shared" si="16"/>
        <v>78</v>
      </c>
      <c r="Q94" t="str">
        <f t="shared" si="17"/>
        <v xml:space="preserve"> </v>
      </c>
    </row>
    <row r="95" spans="1:17" x14ac:dyDescent="0.25">
      <c r="A95">
        <v>0</v>
      </c>
      <c r="E95">
        <v>95</v>
      </c>
      <c r="G95" t="str">
        <f t="shared" si="13"/>
        <v>9</v>
      </c>
      <c r="H95" t="str">
        <f t="shared" si="14"/>
        <v>5</v>
      </c>
      <c r="I95" t="str">
        <f t="shared" si="15"/>
        <v/>
      </c>
      <c r="K95" t="str">
        <f t="shared" si="19"/>
        <v>9</v>
      </c>
      <c r="L95" t="str">
        <f t="shared" si="20"/>
        <v>5</v>
      </c>
      <c r="M95" t="str">
        <f t="shared" si="21"/>
        <v/>
      </c>
      <c r="O95" s="69">
        <f t="shared" si="18"/>
        <v>14</v>
      </c>
      <c r="P95">
        <f t="shared" si="16"/>
        <v>84</v>
      </c>
      <c r="Q95" t="str">
        <f t="shared" si="17"/>
        <v xml:space="preserve"> </v>
      </c>
    </row>
    <row r="96" spans="1:17" x14ac:dyDescent="0.25">
      <c r="A96">
        <v>0</v>
      </c>
      <c r="E96">
        <v>96</v>
      </c>
      <c r="G96" t="str">
        <f t="shared" si="13"/>
        <v>9</v>
      </c>
      <c r="H96" t="str">
        <f t="shared" si="14"/>
        <v>6</v>
      </c>
      <c r="I96" t="str">
        <f t="shared" si="15"/>
        <v/>
      </c>
      <c r="K96" t="str">
        <f t="shared" si="19"/>
        <v>9</v>
      </c>
      <c r="L96" t="str">
        <f t="shared" si="20"/>
        <v>6</v>
      </c>
      <c r="M96" t="str">
        <f t="shared" si="21"/>
        <v/>
      </c>
      <c r="O96" s="69">
        <f t="shared" si="18"/>
        <v>15</v>
      </c>
      <c r="P96">
        <f t="shared" si="16"/>
        <v>90</v>
      </c>
      <c r="Q96" t="str">
        <f t="shared" si="17"/>
        <v xml:space="preserve"> </v>
      </c>
    </row>
    <row r="97" spans="1:17" x14ac:dyDescent="0.25">
      <c r="A97">
        <v>0</v>
      </c>
      <c r="E97">
        <v>97</v>
      </c>
      <c r="G97" t="str">
        <f t="shared" si="13"/>
        <v>9</v>
      </c>
      <c r="H97" t="str">
        <f t="shared" si="14"/>
        <v>7</v>
      </c>
      <c r="I97" t="str">
        <f t="shared" si="15"/>
        <v/>
      </c>
      <c r="K97" t="str">
        <f t="shared" si="19"/>
        <v>9</v>
      </c>
      <c r="L97" t="str">
        <f t="shared" si="20"/>
        <v>7</v>
      </c>
      <c r="M97" t="str">
        <f t="shared" si="21"/>
        <v/>
      </c>
      <c r="O97" s="69">
        <f t="shared" si="18"/>
        <v>16</v>
      </c>
      <c r="P97">
        <f t="shared" si="16"/>
        <v>96</v>
      </c>
      <c r="Q97" t="str">
        <f t="shared" si="17"/>
        <v xml:space="preserve"> </v>
      </c>
    </row>
    <row r="98" spans="1:17" x14ac:dyDescent="0.25">
      <c r="A98">
        <v>0</v>
      </c>
      <c r="E98">
        <v>98</v>
      </c>
      <c r="G98" t="str">
        <f t="shared" si="13"/>
        <v>9</v>
      </c>
      <c r="H98" t="str">
        <f t="shared" si="14"/>
        <v>8</v>
      </c>
      <c r="I98" t="str">
        <f t="shared" si="15"/>
        <v/>
      </c>
      <c r="K98" t="str">
        <f t="shared" si="19"/>
        <v>9</v>
      </c>
      <c r="L98" t="str">
        <f t="shared" si="20"/>
        <v>8</v>
      </c>
      <c r="M98" t="str">
        <f t="shared" si="21"/>
        <v/>
      </c>
      <c r="O98" s="69">
        <f t="shared" si="18"/>
        <v>17</v>
      </c>
      <c r="P98">
        <f t="shared" si="16"/>
        <v>102</v>
      </c>
      <c r="Q98" t="str">
        <f t="shared" si="17"/>
        <v xml:space="preserve"> </v>
      </c>
    </row>
    <row r="99" spans="1:17" x14ac:dyDescent="0.25">
      <c r="A99">
        <v>0</v>
      </c>
      <c r="E99">
        <v>99</v>
      </c>
      <c r="G99" t="str">
        <f t="shared" si="13"/>
        <v>9</v>
      </c>
      <c r="H99" t="str">
        <f t="shared" si="14"/>
        <v>9</v>
      </c>
      <c r="I99" t="str">
        <f t="shared" si="15"/>
        <v/>
      </c>
      <c r="K99" t="str">
        <f t="shared" si="19"/>
        <v>9</v>
      </c>
      <c r="L99" t="str">
        <f t="shared" si="20"/>
        <v>9</v>
      </c>
      <c r="M99" t="str">
        <f t="shared" si="21"/>
        <v/>
      </c>
      <c r="O99" s="69">
        <f t="shared" si="18"/>
        <v>18</v>
      </c>
      <c r="P99">
        <f t="shared" si="16"/>
        <v>108</v>
      </c>
      <c r="Q99" t="str">
        <f t="shared" si="17"/>
        <v xml:space="preserve"> </v>
      </c>
    </row>
    <row r="100" spans="1:17" x14ac:dyDescent="0.25">
      <c r="A100">
        <v>0</v>
      </c>
      <c r="E100">
        <v>100</v>
      </c>
      <c r="G100" t="str">
        <f t="shared" si="13"/>
        <v>1</v>
      </c>
      <c r="H100" t="str">
        <f t="shared" si="14"/>
        <v>0</v>
      </c>
      <c r="I100" t="str">
        <f t="shared" si="15"/>
        <v>0</v>
      </c>
      <c r="K100" t="str">
        <f t="shared" si="19"/>
        <v>1</v>
      </c>
      <c r="L100" t="str">
        <f t="shared" si="20"/>
        <v>0</v>
      </c>
      <c r="M100" t="str">
        <f t="shared" si="21"/>
        <v>0</v>
      </c>
      <c r="O100" s="69">
        <f>+K100+L100+M100</f>
        <v>1</v>
      </c>
      <c r="P100">
        <f t="shared" si="16"/>
        <v>6</v>
      </c>
      <c r="Q100" t="str">
        <f t="shared" si="17"/>
        <v xml:space="preserve"> </v>
      </c>
    </row>
    <row r="101" spans="1:17" x14ac:dyDescent="0.25">
      <c r="A101">
        <v>0</v>
      </c>
      <c r="E101">
        <v>101</v>
      </c>
      <c r="G101" t="str">
        <f t="shared" si="13"/>
        <v>1</v>
      </c>
      <c r="H101" t="str">
        <f t="shared" si="14"/>
        <v>0</v>
      </c>
      <c r="I101" t="str">
        <f t="shared" si="15"/>
        <v>1</v>
      </c>
      <c r="K101" t="str">
        <f t="shared" si="19"/>
        <v>1</v>
      </c>
      <c r="L101" t="str">
        <f t="shared" si="20"/>
        <v>0</v>
      </c>
      <c r="M101" t="str">
        <f t="shared" si="21"/>
        <v>1</v>
      </c>
      <c r="O101" s="69">
        <f t="shared" ref="O101:O164" si="22">+K101+L101+M101</f>
        <v>2</v>
      </c>
      <c r="P101">
        <f t="shared" si="16"/>
        <v>12</v>
      </c>
      <c r="Q101" t="str">
        <f t="shared" si="17"/>
        <v xml:space="preserve"> </v>
      </c>
    </row>
    <row r="102" spans="1:17" x14ac:dyDescent="0.25">
      <c r="A102">
        <v>0</v>
      </c>
      <c r="E102">
        <v>102</v>
      </c>
      <c r="G102" t="str">
        <f t="shared" si="13"/>
        <v>1</v>
      </c>
      <c r="H102" t="str">
        <f t="shared" si="14"/>
        <v>0</v>
      </c>
      <c r="I102" t="str">
        <f t="shared" si="15"/>
        <v>2</v>
      </c>
      <c r="K102" t="str">
        <f t="shared" si="19"/>
        <v>1</v>
      </c>
      <c r="L102" t="str">
        <f t="shared" si="20"/>
        <v>0</v>
      </c>
      <c r="M102" t="str">
        <f t="shared" si="21"/>
        <v>2</v>
      </c>
      <c r="O102" s="69">
        <f t="shared" si="22"/>
        <v>3</v>
      </c>
      <c r="P102">
        <f t="shared" si="16"/>
        <v>18</v>
      </c>
      <c r="Q102" t="str">
        <f t="shared" si="17"/>
        <v xml:space="preserve"> </v>
      </c>
    </row>
    <row r="103" spans="1:17" x14ac:dyDescent="0.25">
      <c r="A103">
        <v>0</v>
      </c>
      <c r="E103">
        <v>103</v>
      </c>
      <c r="G103" t="str">
        <f t="shared" si="13"/>
        <v>1</v>
      </c>
      <c r="H103" t="str">
        <f t="shared" si="14"/>
        <v>0</v>
      </c>
      <c r="I103" t="str">
        <f t="shared" si="15"/>
        <v>3</v>
      </c>
      <c r="K103" t="str">
        <f t="shared" si="19"/>
        <v>1</v>
      </c>
      <c r="L103" t="str">
        <f t="shared" si="20"/>
        <v>0</v>
      </c>
      <c r="M103" t="str">
        <f t="shared" si="21"/>
        <v>3</v>
      </c>
      <c r="O103" s="69">
        <f t="shared" si="22"/>
        <v>4</v>
      </c>
      <c r="P103">
        <f t="shared" si="16"/>
        <v>24</v>
      </c>
      <c r="Q103" t="str">
        <f t="shared" si="17"/>
        <v xml:space="preserve"> </v>
      </c>
    </row>
    <row r="104" spans="1:17" x14ac:dyDescent="0.25">
      <c r="A104">
        <v>0</v>
      </c>
      <c r="E104">
        <v>104</v>
      </c>
      <c r="G104" t="str">
        <f t="shared" si="13"/>
        <v>1</v>
      </c>
      <c r="H104" t="str">
        <f t="shared" si="14"/>
        <v>0</v>
      </c>
      <c r="I104" t="str">
        <f t="shared" si="15"/>
        <v>4</v>
      </c>
      <c r="K104" t="str">
        <f t="shared" si="19"/>
        <v>1</v>
      </c>
      <c r="L104" t="str">
        <f t="shared" si="20"/>
        <v>0</v>
      </c>
      <c r="M104" t="str">
        <f t="shared" si="21"/>
        <v>4</v>
      </c>
      <c r="O104" s="69">
        <f t="shared" si="22"/>
        <v>5</v>
      </c>
      <c r="P104">
        <f t="shared" si="16"/>
        <v>30</v>
      </c>
      <c r="Q104" t="str">
        <f t="shared" si="17"/>
        <v xml:space="preserve"> </v>
      </c>
    </row>
    <row r="105" spans="1:17" x14ac:dyDescent="0.25">
      <c r="A105">
        <v>0</v>
      </c>
      <c r="E105">
        <v>105</v>
      </c>
      <c r="G105" t="str">
        <f t="shared" si="13"/>
        <v>1</v>
      </c>
      <c r="H105" t="str">
        <f t="shared" si="14"/>
        <v>0</v>
      </c>
      <c r="I105" t="str">
        <f t="shared" si="15"/>
        <v>5</v>
      </c>
      <c r="K105" t="str">
        <f t="shared" si="19"/>
        <v>1</v>
      </c>
      <c r="L105" t="str">
        <f t="shared" si="20"/>
        <v>0</v>
      </c>
      <c r="M105" t="str">
        <f t="shared" si="21"/>
        <v>5</v>
      </c>
      <c r="O105" s="69">
        <f t="shared" si="22"/>
        <v>6</v>
      </c>
      <c r="P105">
        <f t="shared" si="16"/>
        <v>36</v>
      </c>
      <c r="Q105" t="str">
        <f t="shared" si="17"/>
        <v xml:space="preserve"> </v>
      </c>
    </row>
    <row r="106" spans="1:17" x14ac:dyDescent="0.25">
      <c r="A106">
        <v>0</v>
      </c>
      <c r="E106">
        <v>106</v>
      </c>
      <c r="G106" t="str">
        <f t="shared" si="13"/>
        <v>1</v>
      </c>
      <c r="H106" t="str">
        <f t="shared" si="14"/>
        <v>0</v>
      </c>
      <c r="I106" t="str">
        <f t="shared" si="15"/>
        <v>6</v>
      </c>
      <c r="K106" t="str">
        <f t="shared" si="19"/>
        <v>1</v>
      </c>
      <c r="L106" t="str">
        <f t="shared" si="20"/>
        <v>0</v>
      </c>
      <c r="M106" t="str">
        <f t="shared" si="21"/>
        <v>6</v>
      </c>
      <c r="O106" s="69">
        <f t="shared" si="22"/>
        <v>7</v>
      </c>
      <c r="P106">
        <f t="shared" si="16"/>
        <v>42</v>
      </c>
      <c r="Q106" t="str">
        <f t="shared" si="17"/>
        <v xml:space="preserve"> </v>
      </c>
    </row>
    <row r="107" spans="1:17" x14ac:dyDescent="0.25">
      <c r="A107">
        <v>0</v>
      </c>
      <c r="E107">
        <v>107</v>
      </c>
      <c r="G107" t="str">
        <f t="shared" si="13"/>
        <v>1</v>
      </c>
      <c r="H107" t="str">
        <f t="shared" si="14"/>
        <v>0</v>
      </c>
      <c r="I107" t="str">
        <f t="shared" si="15"/>
        <v>7</v>
      </c>
      <c r="K107" t="str">
        <f t="shared" si="19"/>
        <v>1</v>
      </c>
      <c r="L107" t="str">
        <f t="shared" si="20"/>
        <v>0</v>
      </c>
      <c r="M107" t="str">
        <f t="shared" si="21"/>
        <v>7</v>
      </c>
      <c r="O107" s="69">
        <f t="shared" si="22"/>
        <v>8</v>
      </c>
      <c r="P107">
        <f t="shared" si="16"/>
        <v>48</v>
      </c>
      <c r="Q107" t="str">
        <f t="shared" si="17"/>
        <v xml:space="preserve"> </v>
      </c>
    </row>
    <row r="108" spans="1:17" x14ac:dyDescent="0.25">
      <c r="A108">
        <v>0</v>
      </c>
      <c r="E108">
        <v>108</v>
      </c>
      <c r="G108" t="str">
        <f t="shared" si="13"/>
        <v>1</v>
      </c>
      <c r="H108" t="str">
        <f t="shared" si="14"/>
        <v>0</v>
      </c>
      <c r="I108" t="str">
        <f t="shared" si="15"/>
        <v>8</v>
      </c>
      <c r="K108" t="str">
        <f t="shared" si="19"/>
        <v>1</v>
      </c>
      <c r="L108" t="str">
        <f t="shared" si="20"/>
        <v>0</v>
      </c>
      <c r="M108" t="str">
        <f t="shared" si="21"/>
        <v>8</v>
      </c>
      <c r="O108" s="69">
        <f t="shared" si="22"/>
        <v>9</v>
      </c>
      <c r="P108">
        <f t="shared" si="16"/>
        <v>54</v>
      </c>
      <c r="Q108" t="str">
        <f t="shared" si="17"/>
        <v xml:space="preserve"> </v>
      </c>
    </row>
    <row r="109" spans="1:17" x14ac:dyDescent="0.25">
      <c r="A109">
        <v>0</v>
      </c>
      <c r="E109">
        <v>109</v>
      </c>
      <c r="G109" t="str">
        <f t="shared" si="13"/>
        <v>1</v>
      </c>
      <c r="H109" t="str">
        <f t="shared" si="14"/>
        <v>0</v>
      </c>
      <c r="I109" t="str">
        <f t="shared" si="15"/>
        <v>9</v>
      </c>
      <c r="K109" t="str">
        <f t="shared" si="19"/>
        <v>1</v>
      </c>
      <c r="L109" t="str">
        <f t="shared" si="20"/>
        <v>0</v>
      </c>
      <c r="M109" t="str">
        <f t="shared" si="21"/>
        <v>9</v>
      </c>
      <c r="O109" s="69">
        <f t="shared" si="22"/>
        <v>10</v>
      </c>
      <c r="P109">
        <f t="shared" si="16"/>
        <v>60</v>
      </c>
      <c r="Q109" t="str">
        <f t="shared" si="17"/>
        <v xml:space="preserve"> </v>
      </c>
    </row>
    <row r="110" spans="1:17" x14ac:dyDescent="0.25">
      <c r="A110">
        <v>0</v>
      </c>
      <c r="E110">
        <v>110</v>
      </c>
      <c r="G110" t="str">
        <f t="shared" si="13"/>
        <v>1</v>
      </c>
      <c r="H110" t="str">
        <f t="shared" si="14"/>
        <v>1</v>
      </c>
      <c r="I110" t="str">
        <f t="shared" si="15"/>
        <v>0</v>
      </c>
      <c r="K110" t="str">
        <f t="shared" si="19"/>
        <v>1</v>
      </c>
      <c r="L110" t="str">
        <f t="shared" si="20"/>
        <v>1</v>
      </c>
      <c r="M110" t="str">
        <f t="shared" si="21"/>
        <v>0</v>
      </c>
      <c r="O110" s="69">
        <f t="shared" si="22"/>
        <v>2</v>
      </c>
      <c r="P110">
        <f t="shared" si="16"/>
        <v>12</v>
      </c>
      <c r="Q110" t="str">
        <f t="shared" si="17"/>
        <v xml:space="preserve"> </v>
      </c>
    </row>
    <row r="111" spans="1:17" x14ac:dyDescent="0.25">
      <c r="A111">
        <v>0</v>
      </c>
      <c r="E111">
        <v>111</v>
      </c>
      <c r="G111" t="str">
        <f t="shared" si="13"/>
        <v>1</v>
      </c>
      <c r="H111" t="str">
        <f t="shared" si="14"/>
        <v>1</v>
      </c>
      <c r="I111" t="str">
        <f t="shared" si="15"/>
        <v>1</v>
      </c>
      <c r="K111" t="str">
        <f t="shared" si="19"/>
        <v>1</v>
      </c>
      <c r="L111" t="str">
        <f t="shared" si="20"/>
        <v>1</v>
      </c>
      <c r="M111" t="str">
        <f t="shared" si="21"/>
        <v>1</v>
      </c>
      <c r="O111" s="69">
        <f t="shared" si="22"/>
        <v>3</v>
      </c>
      <c r="P111">
        <f t="shared" si="16"/>
        <v>18</v>
      </c>
      <c r="Q111" t="str">
        <f t="shared" si="17"/>
        <v xml:space="preserve"> </v>
      </c>
    </row>
    <row r="112" spans="1:17" x14ac:dyDescent="0.25">
      <c r="A112">
        <v>0</v>
      </c>
      <c r="E112">
        <v>112</v>
      </c>
      <c r="G112" t="str">
        <f t="shared" si="13"/>
        <v>1</v>
      </c>
      <c r="H112" t="str">
        <f t="shared" si="14"/>
        <v>1</v>
      </c>
      <c r="I112" t="str">
        <f t="shared" si="15"/>
        <v>2</v>
      </c>
      <c r="K112" t="str">
        <f t="shared" si="19"/>
        <v>1</v>
      </c>
      <c r="L112" t="str">
        <f t="shared" si="20"/>
        <v>1</v>
      </c>
      <c r="M112" t="str">
        <f t="shared" si="21"/>
        <v>2</v>
      </c>
      <c r="O112" s="69">
        <f t="shared" si="22"/>
        <v>4</v>
      </c>
      <c r="P112">
        <f t="shared" si="16"/>
        <v>24</v>
      </c>
      <c r="Q112" t="str">
        <f t="shared" si="17"/>
        <v xml:space="preserve"> </v>
      </c>
    </row>
    <row r="113" spans="1:17" x14ac:dyDescent="0.25">
      <c r="A113">
        <v>0</v>
      </c>
      <c r="E113">
        <v>113</v>
      </c>
      <c r="G113" t="str">
        <f t="shared" si="13"/>
        <v>1</v>
      </c>
      <c r="H113" t="str">
        <f t="shared" si="14"/>
        <v>1</v>
      </c>
      <c r="I113" t="str">
        <f t="shared" si="15"/>
        <v>3</v>
      </c>
      <c r="K113" t="str">
        <f t="shared" si="19"/>
        <v>1</v>
      </c>
      <c r="L113" t="str">
        <f t="shared" si="20"/>
        <v>1</v>
      </c>
      <c r="M113" t="str">
        <f t="shared" si="21"/>
        <v>3</v>
      </c>
      <c r="O113" s="69">
        <f t="shared" si="22"/>
        <v>5</v>
      </c>
      <c r="P113">
        <f t="shared" si="16"/>
        <v>30</v>
      </c>
      <c r="Q113" t="str">
        <f t="shared" si="17"/>
        <v xml:space="preserve"> </v>
      </c>
    </row>
    <row r="114" spans="1:17" x14ac:dyDescent="0.25">
      <c r="A114">
        <v>0</v>
      </c>
      <c r="E114">
        <v>114</v>
      </c>
      <c r="G114" t="str">
        <f t="shared" si="13"/>
        <v>1</v>
      </c>
      <c r="H114" t="str">
        <f t="shared" si="14"/>
        <v>1</v>
      </c>
      <c r="I114" t="str">
        <f t="shared" si="15"/>
        <v>4</v>
      </c>
      <c r="K114" t="str">
        <f t="shared" si="19"/>
        <v>1</v>
      </c>
      <c r="L114" t="str">
        <f t="shared" si="20"/>
        <v>1</v>
      </c>
      <c r="M114" t="str">
        <f t="shared" si="21"/>
        <v>4</v>
      </c>
      <c r="O114" s="69">
        <f t="shared" si="22"/>
        <v>6</v>
      </c>
      <c r="P114">
        <f t="shared" si="16"/>
        <v>36</v>
      </c>
      <c r="Q114" t="str">
        <f t="shared" si="17"/>
        <v xml:space="preserve"> </v>
      </c>
    </row>
    <row r="115" spans="1:17" x14ac:dyDescent="0.25">
      <c r="A115">
        <v>0</v>
      </c>
      <c r="E115">
        <v>115</v>
      </c>
      <c r="G115" t="str">
        <f t="shared" si="13"/>
        <v>1</v>
      </c>
      <c r="H115" t="str">
        <f t="shared" si="14"/>
        <v>1</v>
      </c>
      <c r="I115" t="str">
        <f t="shared" si="15"/>
        <v>5</v>
      </c>
      <c r="K115" t="str">
        <f t="shared" si="19"/>
        <v>1</v>
      </c>
      <c r="L115" t="str">
        <f t="shared" si="20"/>
        <v>1</v>
      </c>
      <c r="M115" t="str">
        <f t="shared" si="21"/>
        <v>5</v>
      </c>
      <c r="O115" s="69">
        <f t="shared" si="22"/>
        <v>7</v>
      </c>
      <c r="P115">
        <f t="shared" si="16"/>
        <v>42</v>
      </c>
      <c r="Q115" t="str">
        <f t="shared" si="17"/>
        <v xml:space="preserve"> </v>
      </c>
    </row>
    <row r="116" spans="1:17" x14ac:dyDescent="0.25">
      <c r="A116">
        <v>0</v>
      </c>
      <c r="E116">
        <v>116</v>
      </c>
      <c r="G116" t="str">
        <f t="shared" si="13"/>
        <v>1</v>
      </c>
      <c r="H116" t="str">
        <f t="shared" si="14"/>
        <v>1</v>
      </c>
      <c r="I116" t="str">
        <f t="shared" si="15"/>
        <v>6</v>
      </c>
      <c r="K116" t="str">
        <f t="shared" si="19"/>
        <v>1</v>
      </c>
      <c r="L116" t="str">
        <f t="shared" si="20"/>
        <v>1</v>
      </c>
      <c r="M116" t="str">
        <f t="shared" si="21"/>
        <v>6</v>
      </c>
      <c r="O116" s="69">
        <f t="shared" si="22"/>
        <v>8</v>
      </c>
      <c r="P116">
        <f t="shared" si="16"/>
        <v>48</v>
      </c>
      <c r="Q116" t="str">
        <f t="shared" si="17"/>
        <v xml:space="preserve"> </v>
      </c>
    </row>
    <row r="117" spans="1:17" x14ac:dyDescent="0.25">
      <c r="A117">
        <v>0</v>
      </c>
      <c r="E117">
        <v>117</v>
      </c>
      <c r="G117" t="str">
        <f t="shared" si="13"/>
        <v>1</v>
      </c>
      <c r="H117" t="str">
        <f t="shared" si="14"/>
        <v>1</v>
      </c>
      <c r="I117" t="str">
        <f t="shared" si="15"/>
        <v>7</v>
      </c>
      <c r="K117" t="str">
        <f t="shared" si="19"/>
        <v>1</v>
      </c>
      <c r="L117" t="str">
        <f t="shared" si="20"/>
        <v>1</v>
      </c>
      <c r="M117" t="str">
        <f t="shared" si="21"/>
        <v>7</v>
      </c>
      <c r="O117" s="69">
        <f t="shared" si="22"/>
        <v>9</v>
      </c>
      <c r="P117">
        <f t="shared" si="16"/>
        <v>54</v>
      </c>
      <c r="Q117" t="str">
        <f t="shared" si="17"/>
        <v xml:space="preserve"> </v>
      </c>
    </row>
    <row r="118" spans="1:17" x14ac:dyDescent="0.25">
      <c r="A118">
        <v>0</v>
      </c>
      <c r="E118">
        <v>118</v>
      </c>
      <c r="G118" t="str">
        <f t="shared" si="13"/>
        <v>1</v>
      </c>
      <c r="H118" t="str">
        <f t="shared" si="14"/>
        <v>1</v>
      </c>
      <c r="I118" t="str">
        <f t="shared" si="15"/>
        <v>8</v>
      </c>
      <c r="K118" t="str">
        <f t="shared" si="19"/>
        <v>1</v>
      </c>
      <c r="L118" t="str">
        <f t="shared" si="20"/>
        <v>1</v>
      </c>
      <c r="M118" t="str">
        <f t="shared" si="21"/>
        <v>8</v>
      </c>
      <c r="O118" s="69">
        <f t="shared" si="22"/>
        <v>10</v>
      </c>
      <c r="P118">
        <f t="shared" si="16"/>
        <v>60</v>
      </c>
      <c r="Q118" t="str">
        <f t="shared" si="17"/>
        <v xml:space="preserve"> </v>
      </c>
    </row>
    <row r="119" spans="1:17" x14ac:dyDescent="0.25">
      <c r="A119">
        <v>0</v>
      </c>
      <c r="E119">
        <v>119</v>
      </c>
      <c r="G119" t="str">
        <f t="shared" si="13"/>
        <v>1</v>
      </c>
      <c r="H119" t="str">
        <f t="shared" si="14"/>
        <v>1</v>
      </c>
      <c r="I119" t="str">
        <f t="shared" si="15"/>
        <v>9</v>
      </c>
      <c r="K119" t="str">
        <f t="shared" si="19"/>
        <v>1</v>
      </c>
      <c r="L119" t="str">
        <f t="shared" si="20"/>
        <v>1</v>
      </c>
      <c r="M119" t="str">
        <f t="shared" si="21"/>
        <v>9</v>
      </c>
      <c r="O119" s="69">
        <f t="shared" si="22"/>
        <v>11</v>
      </c>
      <c r="P119">
        <f t="shared" si="16"/>
        <v>66</v>
      </c>
      <c r="Q119" t="str">
        <f t="shared" si="17"/>
        <v xml:space="preserve"> </v>
      </c>
    </row>
    <row r="120" spans="1:17" x14ac:dyDescent="0.25">
      <c r="A120">
        <v>0</v>
      </c>
      <c r="E120">
        <v>120</v>
      </c>
      <c r="G120" t="str">
        <f t="shared" si="13"/>
        <v>1</v>
      </c>
      <c r="H120" t="str">
        <f t="shared" si="14"/>
        <v>2</v>
      </c>
      <c r="I120" t="str">
        <f t="shared" si="15"/>
        <v>0</v>
      </c>
      <c r="K120" t="str">
        <f t="shared" si="19"/>
        <v>1</v>
      </c>
      <c r="L120" t="str">
        <f t="shared" si="20"/>
        <v>2</v>
      </c>
      <c r="M120" t="str">
        <f t="shared" si="21"/>
        <v>0</v>
      </c>
      <c r="O120" s="69">
        <f t="shared" si="22"/>
        <v>3</v>
      </c>
      <c r="P120">
        <f t="shared" si="16"/>
        <v>18</v>
      </c>
      <c r="Q120" t="str">
        <f t="shared" si="17"/>
        <v xml:space="preserve"> </v>
      </c>
    </row>
    <row r="121" spans="1:17" x14ac:dyDescent="0.25">
      <c r="A121">
        <v>0</v>
      </c>
      <c r="E121">
        <v>121</v>
      </c>
      <c r="G121" t="str">
        <f t="shared" si="13"/>
        <v>1</v>
      </c>
      <c r="H121" t="str">
        <f t="shared" si="14"/>
        <v>2</v>
      </c>
      <c r="I121" t="str">
        <f t="shared" si="15"/>
        <v>1</v>
      </c>
      <c r="K121" t="str">
        <f t="shared" si="19"/>
        <v>1</v>
      </c>
      <c r="L121" t="str">
        <f t="shared" si="20"/>
        <v>2</v>
      </c>
      <c r="M121" t="str">
        <f t="shared" si="21"/>
        <v>1</v>
      </c>
      <c r="O121" s="69">
        <f t="shared" si="22"/>
        <v>4</v>
      </c>
      <c r="P121">
        <f t="shared" si="16"/>
        <v>24</v>
      </c>
      <c r="Q121" t="str">
        <f t="shared" si="17"/>
        <v xml:space="preserve"> </v>
      </c>
    </row>
    <row r="122" spans="1:17" x14ac:dyDescent="0.25">
      <c r="A122">
        <v>0</v>
      </c>
      <c r="E122">
        <v>122</v>
      </c>
      <c r="G122" t="str">
        <f t="shared" si="13"/>
        <v>1</v>
      </c>
      <c r="H122" t="str">
        <f t="shared" si="14"/>
        <v>2</v>
      </c>
      <c r="I122" t="str">
        <f t="shared" si="15"/>
        <v>2</v>
      </c>
      <c r="K122" t="str">
        <f t="shared" si="19"/>
        <v>1</v>
      </c>
      <c r="L122" t="str">
        <f t="shared" si="20"/>
        <v>2</v>
      </c>
      <c r="M122" t="str">
        <f t="shared" si="21"/>
        <v>2</v>
      </c>
      <c r="O122" s="69">
        <f t="shared" si="22"/>
        <v>5</v>
      </c>
      <c r="P122">
        <f t="shared" si="16"/>
        <v>30</v>
      </c>
      <c r="Q122" t="str">
        <f t="shared" si="17"/>
        <v xml:space="preserve"> </v>
      </c>
    </row>
    <row r="123" spans="1:17" x14ac:dyDescent="0.25">
      <c r="A123">
        <v>0</v>
      </c>
      <c r="E123">
        <v>123</v>
      </c>
      <c r="G123" t="str">
        <f t="shared" si="13"/>
        <v>1</v>
      </c>
      <c r="H123" t="str">
        <f t="shared" si="14"/>
        <v>2</v>
      </c>
      <c r="I123" t="str">
        <f t="shared" si="15"/>
        <v>3</v>
      </c>
      <c r="K123" t="str">
        <f t="shared" si="19"/>
        <v>1</v>
      </c>
      <c r="L123" t="str">
        <f t="shared" si="20"/>
        <v>2</v>
      </c>
      <c r="M123" t="str">
        <f t="shared" si="21"/>
        <v>3</v>
      </c>
      <c r="O123" s="69">
        <f t="shared" si="22"/>
        <v>6</v>
      </c>
      <c r="P123">
        <f t="shared" si="16"/>
        <v>36</v>
      </c>
      <c r="Q123" t="str">
        <f t="shared" si="17"/>
        <v xml:space="preserve"> </v>
      </c>
    </row>
    <row r="124" spans="1:17" x14ac:dyDescent="0.25">
      <c r="A124">
        <v>0</v>
      </c>
      <c r="E124">
        <v>124</v>
      </c>
      <c r="G124" t="str">
        <f t="shared" si="13"/>
        <v>1</v>
      </c>
      <c r="H124" t="str">
        <f t="shared" si="14"/>
        <v>2</v>
      </c>
      <c r="I124" t="str">
        <f t="shared" si="15"/>
        <v>4</v>
      </c>
      <c r="K124" t="str">
        <f t="shared" si="19"/>
        <v>1</v>
      </c>
      <c r="L124" t="str">
        <f t="shared" si="20"/>
        <v>2</v>
      </c>
      <c r="M124" t="str">
        <f t="shared" si="21"/>
        <v>4</v>
      </c>
      <c r="O124" s="69">
        <f t="shared" si="22"/>
        <v>7</v>
      </c>
      <c r="P124">
        <f t="shared" si="16"/>
        <v>42</v>
      </c>
      <c r="Q124" t="str">
        <f t="shared" si="17"/>
        <v xml:space="preserve"> </v>
      </c>
    </row>
    <row r="125" spans="1:17" x14ac:dyDescent="0.25">
      <c r="A125">
        <v>0</v>
      </c>
      <c r="E125">
        <v>125</v>
      </c>
      <c r="G125" t="str">
        <f t="shared" si="13"/>
        <v>1</v>
      </c>
      <c r="H125" t="str">
        <f t="shared" si="14"/>
        <v>2</v>
      </c>
      <c r="I125" t="str">
        <f t="shared" si="15"/>
        <v>5</v>
      </c>
      <c r="K125" t="str">
        <f t="shared" si="19"/>
        <v>1</v>
      </c>
      <c r="L125" t="str">
        <f t="shared" si="20"/>
        <v>2</v>
      </c>
      <c r="M125" t="str">
        <f t="shared" si="21"/>
        <v>5</v>
      </c>
      <c r="O125" s="69">
        <f t="shared" si="22"/>
        <v>8</v>
      </c>
      <c r="P125">
        <f t="shared" si="16"/>
        <v>48</v>
      </c>
      <c r="Q125" t="str">
        <f t="shared" si="17"/>
        <v xml:space="preserve"> </v>
      </c>
    </row>
    <row r="126" spans="1:17" x14ac:dyDescent="0.25">
      <c r="A126">
        <v>0</v>
      </c>
      <c r="E126">
        <v>126</v>
      </c>
      <c r="G126" t="str">
        <f t="shared" si="13"/>
        <v>1</v>
      </c>
      <c r="H126" t="str">
        <f t="shared" si="14"/>
        <v>2</v>
      </c>
      <c r="I126" t="str">
        <f t="shared" si="15"/>
        <v>6</v>
      </c>
      <c r="K126" t="str">
        <f t="shared" si="19"/>
        <v>1</v>
      </c>
      <c r="L126" t="str">
        <f t="shared" si="20"/>
        <v>2</v>
      </c>
      <c r="M126" t="str">
        <f t="shared" si="21"/>
        <v>6</v>
      </c>
      <c r="O126" s="69">
        <f t="shared" si="22"/>
        <v>9</v>
      </c>
      <c r="P126">
        <f t="shared" si="16"/>
        <v>54</v>
      </c>
      <c r="Q126" t="str">
        <f t="shared" si="17"/>
        <v xml:space="preserve"> </v>
      </c>
    </row>
    <row r="127" spans="1:17" x14ac:dyDescent="0.25">
      <c r="A127">
        <v>0</v>
      </c>
      <c r="E127">
        <v>127</v>
      </c>
      <c r="G127" t="str">
        <f t="shared" si="13"/>
        <v>1</v>
      </c>
      <c r="H127" t="str">
        <f t="shared" si="14"/>
        <v>2</v>
      </c>
      <c r="I127" t="str">
        <f t="shared" si="15"/>
        <v>7</v>
      </c>
      <c r="K127" t="str">
        <f t="shared" si="19"/>
        <v>1</v>
      </c>
      <c r="L127" t="str">
        <f t="shared" si="20"/>
        <v>2</v>
      </c>
      <c r="M127" t="str">
        <f t="shared" si="21"/>
        <v>7</v>
      </c>
      <c r="O127" s="69">
        <f t="shared" si="22"/>
        <v>10</v>
      </c>
      <c r="P127">
        <f t="shared" si="16"/>
        <v>60</v>
      </c>
      <c r="Q127" t="str">
        <f t="shared" si="17"/>
        <v xml:space="preserve"> </v>
      </c>
    </row>
    <row r="128" spans="1:17" x14ac:dyDescent="0.25">
      <c r="A128">
        <v>0</v>
      </c>
      <c r="E128">
        <v>128</v>
      </c>
      <c r="G128" t="str">
        <f t="shared" si="13"/>
        <v>1</v>
      </c>
      <c r="H128" t="str">
        <f t="shared" si="14"/>
        <v>2</v>
      </c>
      <c r="I128" t="str">
        <f t="shared" si="15"/>
        <v>8</v>
      </c>
      <c r="K128" t="str">
        <f t="shared" si="19"/>
        <v>1</v>
      </c>
      <c r="L128" t="str">
        <f t="shared" si="20"/>
        <v>2</v>
      </c>
      <c r="M128" t="str">
        <f t="shared" si="21"/>
        <v>8</v>
      </c>
      <c r="O128" s="69">
        <f t="shared" si="22"/>
        <v>11</v>
      </c>
      <c r="P128">
        <f t="shared" si="16"/>
        <v>66</v>
      </c>
      <c r="Q128" t="str">
        <f t="shared" si="17"/>
        <v xml:space="preserve"> </v>
      </c>
    </row>
    <row r="129" spans="1:17" x14ac:dyDescent="0.25">
      <c r="A129">
        <v>0</v>
      </c>
      <c r="E129">
        <v>129</v>
      </c>
      <c r="G129" t="str">
        <f t="shared" si="13"/>
        <v>1</v>
      </c>
      <c r="H129" t="str">
        <f t="shared" si="14"/>
        <v>2</v>
      </c>
      <c r="I129" t="str">
        <f t="shared" si="15"/>
        <v>9</v>
      </c>
      <c r="K129" t="str">
        <f t="shared" si="19"/>
        <v>1</v>
      </c>
      <c r="L129" t="str">
        <f t="shared" si="20"/>
        <v>2</v>
      </c>
      <c r="M129" t="str">
        <f t="shared" si="21"/>
        <v>9</v>
      </c>
      <c r="O129" s="69">
        <f t="shared" si="22"/>
        <v>12</v>
      </c>
      <c r="P129">
        <f t="shared" si="16"/>
        <v>72</v>
      </c>
      <c r="Q129" t="str">
        <f t="shared" si="17"/>
        <v xml:space="preserve"> </v>
      </c>
    </row>
    <row r="130" spans="1:17" x14ac:dyDescent="0.25">
      <c r="A130">
        <v>0</v>
      </c>
      <c r="E130">
        <v>130</v>
      </c>
      <c r="G130" t="str">
        <f t="shared" ref="G130:G193" si="23">+MID(E130,1,1)</f>
        <v>1</v>
      </c>
      <c r="H130" t="str">
        <f t="shared" ref="H130:H193" si="24">+MID(E130,2,1)</f>
        <v>3</v>
      </c>
      <c r="I130" t="str">
        <f t="shared" ref="I130:I193" si="25">+MID(E130,3,1)</f>
        <v>0</v>
      </c>
      <c r="K130" t="str">
        <f t="shared" si="19"/>
        <v>1</v>
      </c>
      <c r="L130" t="str">
        <f t="shared" si="20"/>
        <v>3</v>
      </c>
      <c r="M130" t="str">
        <f t="shared" si="21"/>
        <v>0</v>
      </c>
      <c r="O130" s="69">
        <f t="shared" si="22"/>
        <v>4</v>
      </c>
      <c r="P130">
        <f t="shared" ref="P130:P193" si="26">+O130*6</f>
        <v>24</v>
      </c>
      <c r="Q130" t="str">
        <f t="shared" ref="Q130:Q193" si="27">+IF(P130=E130,"OK"," ")</f>
        <v xml:space="preserve"> </v>
      </c>
    </row>
    <row r="131" spans="1:17" x14ac:dyDescent="0.25">
      <c r="A131">
        <v>0</v>
      </c>
      <c r="E131">
        <v>131</v>
      </c>
      <c r="G131" t="str">
        <f t="shared" si="23"/>
        <v>1</v>
      </c>
      <c r="H131" t="str">
        <f t="shared" si="24"/>
        <v>3</v>
      </c>
      <c r="I131" t="str">
        <f t="shared" si="25"/>
        <v>1</v>
      </c>
      <c r="K131" t="str">
        <f t="shared" si="19"/>
        <v>1</v>
      </c>
      <c r="L131" t="str">
        <f t="shared" si="20"/>
        <v>3</v>
      </c>
      <c r="M131" t="str">
        <f t="shared" si="21"/>
        <v>1</v>
      </c>
      <c r="O131" s="69">
        <f t="shared" si="22"/>
        <v>5</v>
      </c>
      <c r="P131">
        <f t="shared" si="26"/>
        <v>30</v>
      </c>
      <c r="Q131" t="str">
        <f t="shared" si="27"/>
        <v xml:space="preserve"> </v>
      </c>
    </row>
    <row r="132" spans="1:17" x14ac:dyDescent="0.25">
      <c r="A132">
        <v>0</v>
      </c>
      <c r="E132">
        <v>132</v>
      </c>
      <c r="G132" t="str">
        <f t="shared" si="23"/>
        <v>1</v>
      </c>
      <c r="H132" t="str">
        <f t="shared" si="24"/>
        <v>3</v>
      </c>
      <c r="I132" t="str">
        <f t="shared" si="25"/>
        <v>2</v>
      </c>
      <c r="K132" t="str">
        <f t="shared" si="19"/>
        <v>1</v>
      </c>
      <c r="L132" t="str">
        <f t="shared" si="20"/>
        <v>3</v>
      </c>
      <c r="M132" t="str">
        <f t="shared" si="21"/>
        <v>2</v>
      </c>
      <c r="O132" s="69">
        <f t="shared" si="22"/>
        <v>6</v>
      </c>
      <c r="P132">
        <f t="shared" si="26"/>
        <v>36</v>
      </c>
      <c r="Q132" t="str">
        <f t="shared" si="27"/>
        <v xml:space="preserve"> </v>
      </c>
    </row>
    <row r="133" spans="1:17" x14ac:dyDescent="0.25">
      <c r="A133">
        <v>0</v>
      </c>
      <c r="E133">
        <v>133</v>
      </c>
      <c r="G133" t="str">
        <f t="shared" si="23"/>
        <v>1</v>
      </c>
      <c r="H133" t="str">
        <f t="shared" si="24"/>
        <v>3</v>
      </c>
      <c r="I133" t="str">
        <f t="shared" si="25"/>
        <v>3</v>
      </c>
      <c r="K133" t="str">
        <f t="shared" si="19"/>
        <v>1</v>
      </c>
      <c r="L133" t="str">
        <f t="shared" si="20"/>
        <v>3</v>
      </c>
      <c r="M133" t="str">
        <f t="shared" si="21"/>
        <v>3</v>
      </c>
      <c r="O133" s="69">
        <f t="shared" si="22"/>
        <v>7</v>
      </c>
      <c r="P133">
        <f t="shared" si="26"/>
        <v>42</v>
      </c>
      <c r="Q133" t="str">
        <f t="shared" si="27"/>
        <v xml:space="preserve"> </v>
      </c>
    </row>
    <row r="134" spans="1:17" x14ac:dyDescent="0.25">
      <c r="A134">
        <v>0</v>
      </c>
      <c r="E134">
        <v>134</v>
      </c>
      <c r="G134" t="str">
        <f t="shared" si="23"/>
        <v>1</v>
      </c>
      <c r="H134" t="str">
        <f t="shared" si="24"/>
        <v>3</v>
      </c>
      <c r="I134" t="str">
        <f t="shared" si="25"/>
        <v>4</v>
      </c>
      <c r="K134" t="str">
        <f t="shared" si="19"/>
        <v>1</v>
      </c>
      <c r="L134" t="str">
        <f t="shared" si="20"/>
        <v>3</v>
      </c>
      <c r="M134" t="str">
        <f t="shared" si="21"/>
        <v>4</v>
      </c>
      <c r="O134" s="69">
        <f t="shared" si="22"/>
        <v>8</v>
      </c>
      <c r="P134">
        <f t="shared" si="26"/>
        <v>48</v>
      </c>
      <c r="Q134" t="str">
        <f t="shared" si="27"/>
        <v xml:space="preserve"> </v>
      </c>
    </row>
    <row r="135" spans="1:17" x14ac:dyDescent="0.25">
      <c r="A135">
        <v>0</v>
      </c>
      <c r="E135">
        <v>135</v>
      </c>
      <c r="G135" t="str">
        <f t="shared" si="23"/>
        <v>1</v>
      </c>
      <c r="H135" t="str">
        <f t="shared" si="24"/>
        <v>3</v>
      </c>
      <c r="I135" t="str">
        <f t="shared" si="25"/>
        <v>5</v>
      </c>
      <c r="K135" t="str">
        <f t="shared" si="19"/>
        <v>1</v>
      </c>
      <c r="L135" t="str">
        <f t="shared" si="20"/>
        <v>3</v>
      </c>
      <c r="M135" t="str">
        <f t="shared" si="21"/>
        <v>5</v>
      </c>
      <c r="O135" s="69">
        <f t="shared" si="22"/>
        <v>9</v>
      </c>
      <c r="P135">
        <f t="shared" si="26"/>
        <v>54</v>
      </c>
      <c r="Q135" t="str">
        <f t="shared" si="27"/>
        <v xml:space="preserve"> </v>
      </c>
    </row>
    <row r="136" spans="1:17" x14ac:dyDescent="0.25">
      <c r="A136">
        <v>0</v>
      </c>
      <c r="E136">
        <v>136</v>
      </c>
      <c r="G136" t="str">
        <f t="shared" si="23"/>
        <v>1</v>
      </c>
      <c r="H136" t="str">
        <f t="shared" si="24"/>
        <v>3</v>
      </c>
      <c r="I136" t="str">
        <f t="shared" si="25"/>
        <v>6</v>
      </c>
      <c r="K136" t="str">
        <f t="shared" si="19"/>
        <v>1</v>
      </c>
      <c r="L136" t="str">
        <f t="shared" si="20"/>
        <v>3</v>
      </c>
      <c r="M136" t="str">
        <f t="shared" si="21"/>
        <v>6</v>
      </c>
      <c r="O136" s="69">
        <f t="shared" si="22"/>
        <v>10</v>
      </c>
      <c r="P136">
        <f t="shared" si="26"/>
        <v>60</v>
      </c>
      <c r="Q136" t="str">
        <f t="shared" si="27"/>
        <v xml:space="preserve"> </v>
      </c>
    </row>
    <row r="137" spans="1:17" x14ac:dyDescent="0.25">
      <c r="A137">
        <v>0</v>
      </c>
      <c r="E137">
        <v>137</v>
      </c>
      <c r="G137" t="str">
        <f t="shared" si="23"/>
        <v>1</v>
      </c>
      <c r="H137" t="str">
        <f t="shared" si="24"/>
        <v>3</v>
      </c>
      <c r="I137" t="str">
        <f t="shared" si="25"/>
        <v>7</v>
      </c>
      <c r="K137" t="str">
        <f t="shared" si="19"/>
        <v>1</v>
      </c>
      <c r="L137" t="str">
        <f t="shared" si="20"/>
        <v>3</v>
      </c>
      <c r="M137" t="str">
        <f t="shared" si="21"/>
        <v>7</v>
      </c>
      <c r="O137" s="69">
        <f t="shared" si="22"/>
        <v>11</v>
      </c>
      <c r="P137">
        <f t="shared" si="26"/>
        <v>66</v>
      </c>
      <c r="Q137" t="str">
        <f t="shared" si="27"/>
        <v xml:space="preserve"> </v>
      </c>
    </row>
    <row r="138" spans="1:17" x14ac:dyDescent="0.25">
      <c r="A138">
        <v>0</v>
      </c>
      <c r="E138">
        <v>138</v>
      </c>
      <c r="G138" t="str">
        <f t="shared" si="23"/>
        <v>1</v>
      </c>
      <c r="H138" t="str">
        <f t="shared" si="24"/>
        <v>3</v>
      </c>
      <c r="I138" t="str">
        <f t="shared" si="25"/>
        <v>8</v>
      </c>
      <c r="K138" t="str">
        <f t="shared" si="19"/>
        <v>1</v>
      </c>
      <c r="L138" t="str">
        <f t="shared" si="20"/>
        <v>3</v>
      </c>
      <c r="M138" t="str">
        <f t="shared" si="21"/>
        <v>8</v>
      </c>
      <c r="O138" s="69">
        <f t="shared" si="22"/>
        <v>12</v>
      </c>
      <c r="P138">
        <f t="shared" si="26"/>
        <v>72</v>
      </c>
      <c r="Q138" t="str">
        <f t="shared" si="27"/>
        <v xml:space="preserve"> </v>
      </c>
    </row>
    <row r="139" spans="1:17" x14ac:dyDescent="0.25">
      <c r="A139">
        <v>0</v>
      </c>
      <c r="E139">
        <v>139</v>
      </c>
      <c r="G139" t="str">
        <f t="shared" si="23"/>
        <v>1</v>
      </c>
      <c r="H139" t="str">
        <f t="shared" si="24"/>
        <v>3</v>
      </c>
      <c r="I139" t="str">
        <f t="shared" si="25"/>
        <v>9</v>
      </c>
      <c r="K139" t="str">
        <f t="shared" si="19"/>
        <v>1</v>
      </c>
      <c r="L139" t="str">
        <f t="shared" si="20"/>
        <v>3</v>
      </c>
      <c r="M139" t="str">
        <f t="shared" si="21"/>
        <v>9</v>
      </c>
      <c r="O139" s="69">
        <f t="shared" si="22"/>
        <v>13</v>
      </c>
      <c r="P139">
        <f t="shared" si="26"/>
        <v>78</v>
      </c>
      <c r="Q139" t="str">
        <f t="shared" si="27"/>
        <v xml:space="preserve"> </v>
      </c>
    </row>
    <row r="140" spans="1:17" x14ac:dyDescent="0.25">
      <c r="A140">
        <v>0</v>
      </c>
      <c r="E140">
        <v>140</v>
      </c>
      <c r="G140" t="str">
        <f t="shared" si="23"/>
        <v>1</v>
      </c>
      <c r="H140" t="str">
        <f t="shared" si="24"/>
        <v>4</v>
      </c>
      <c r="I140" t="str">
        <f t="shared" si="25"/>
        <v>0</v>
      </c>
      <c r="K140" t="str">
        <f t="shared" si="19"/>
        <v>1</v>
      </c>
      <c r="L140" t="str">
        <f t="shared" si="20"/>
        <v>4</v>
      </c>
      <c r="M140" t="str">
        <f t="shared" si="21"/>
        <v>0</v>
      </c>
      <c r="O140" s="69">
        <f t="shared" si="22"/>
        <v>5</v>
      </c>
      <c r="P140">
        <f t="shared" si="26"/>
        <v>30</v>
      </c>
      <c r="Q140" t="str">
        <f t="shared" si="27"/>
        <v xml:space="preserve"> </v>
      </c>
    </row>
    <row r="141" spans="1:17" x14ac:dyDescent="0.25">
      <c r="A141">
        <v>0</v>
      </c>
      <c r="E141">
        <v>141</v>
      </c>
      <c r="G141" t="str">
        <f t="shared" si="23"/>
        <v>1</v>
      </c>
      <c r="H141" t="str">
        <f t="shared" si="24"/>
        <v>4</v>
      </c>
      <c r="I141" t="str">
        <f t="shared" si="25"/>
        <v>1</v>
      </c>
      <c r="K141" t="str">
        <f t="shared" si="19"/>
        <v>1</v>
      </c>
      <c r="L141" t="str">
        <f t="shared" si="20"/>
        <v>4</v>
      </c>
      <c r="M141" t="str">
        <f t="shared" si="21"/>
        <v>1</v>
      </c>
      <c r="O141" s="69">
        <f t="shared" si="22"/>
        <v>6</v>
      </c>
      <c r="P141">
        <f t="shared" si="26"/>
        <v>36</v>
      </c>
      <c r="Q141" t="str">
        <f t="shared" si="27"/>
        <v xml:space="preserve"> </v>
      </c>
    </row>
    <row r="142" spans="1:17" x14ac:dyDescent="0.25">
      <c r="A142">
        <v>0</v>
      </c>
      <c r="E142">
        <v>142</v>
      </c>
      <c r="G142" t="str">
        <f t="shared" si="23"/>
        <v>1</v>
      </c>
      <c r="H142" t="str">
        <f t="shared" si="24"/>
        <v>4</v>
      </c>
      <c r="I142" t="str">
        <f t="shared" si="25"/>
        <v>2</v>
      </c>
      <c r="K142" t="str">
        <f t="shared" si="19"/>
        <v>1</v>
      </c>
      <c r="L142" t="str">
        <f t="shared" si="20"/>
        <v>4</v>
      </c>
      <c r="M142" t="str">
        <f t="shared" si="21"/>
        <v>2</v>
      </c>
      <c r="O142" s="69">
        <f t="shared" si="22"/>
        <v>7</v>
      </c>
      <c r="P142">
        <f t="shared" si="26"/>
        <v>42</v>
      </c>
      <c r="Q142" t="str">
        <f t="shared" si="27"/>
        <v xml:space="preserve"> </v>
      </c>
    </row>
    <row r="143" spans="1:17" x14ac:dyDescent="0.25">
      <c r="A143">
        <v>0</v>
      </c>
      <c r="E143">
        <v>143</v>
      </c>
      <c r="G143" t="str">
        <f t="shared" si="23"/>
        <v>1</v>
      </c>
      <c r="H143" t="str">
        <f t="shared" si="24"/>
        <v>4</v>
      </c>
      <c r="I143" t="str">
        <f t="shared" si="25"/>
        <v>3</v>
      </c>
      <c r="K143" t="str">
        <f t="shared" si="19"/>
        <v>1</v>
      </c>
      <c r="L143" t="str">
        <f t="shared" si="20"/>
        <v>4</v>
      </c>
      <c r="M143" t="str">
        <f t="shared" si="21"/>
        <v>3</v>
      </c>
      <c r="O143" s="69">
        <f t="shared" si="22"/>
        <v>8</v>
      </c>
      <c r="P143">
        <f t="shared" si="26"/>
        <v>48</v>
      </c>
      <c r="Q143" t="str">
        <f t="shared" si="27"/>
        <v xml:space="preserve"> </v>
      </c>
    </row>
    <row r="144" spans="1:17" x14ac:dyDescent="0.25">
      <c r="A144">
        <v>0</v>
      </c>
      <c r="E144">
        <v>144</v>
      </c>
      <c r="G144" t="str">
        <f t="shared" si="23"/>
        <v>1</v>
      </c>
      <c r="H144" t="str">
        <f t="shared" si="24"/>
        <v>4</v>
      </c>
      <c r="I144" t="str">
        <f t="shared" si="25"/>
        <v>4</v>
      </c>
      <c r="K144" t="str">
        <f t="shared" si="19"/>
        <v>1</v>
      </c>
      <c r="L144" t="str">
        <f t="shared" si="20"/>
        <v>4</v>
      </c>
      <c r="M144" t="str">
        <f t="shared" si="21"/>
        <v>4</v>
      </c>
      <c r="O144" s="69">
        <f t="shared" si="22"/>
        <v>9</v>
      </c>
      <c r="P144">
        <f t="shared" si="26"/>
        <v>54</v>
      </c>
      <c r="Q144" t="str">
        <f t="shared" si="27"/>
        <v xml:space="preserve"> </v>
      </c>
    </row>
    <row r="145" spans="1:17" x14ac:dyDescent="0.25">
      <c r="A145">
        <v>0</v>
      </c>
      <c r="E145">
        <v>145</v>
      </c>
      <c r="G145" t="str">
        <f t="shared" si="23"/>
        <v>1</v>
      </c>
      <c r="H145" t="str">
        <f t="shared" si="24"/>
        <v>4</v>
      </c>
      <c r="I145" t="str">
        <f t="shared" si="25"/>
        <v>5</v>
      </c>
      <c r="K145" t="str">
        <f t="shared" si="19"/>
        <v>1</v>
      </c>
      <c r="L145" t="str">
        <f t="shared" si="20"/>
        <v>4</v>
      </c>
      <c r="M145" t="str">
        <f t="shared" si="21"/>
        <v>5</v>
      </c>
      <c r="O145" s="69">
        <f t="shared" si="22"/>
        <v>10</v>
      </c>
      <c r="P145">
        <f t="shared" si="26"/>
        <v>60</v>
      </c>
      <c r="Q145" t="str">
        <f t="shared" si="27"/>
        <v xml:space="preserve"> </v>
      </c>
    </row>
    <row r="146" spans="1:17" x14ac:dyDescent="0.25">
      <c r="A146">
        <v>0</v>
      </c>
      <c r="E146">
        <v>146</v>
      </c>
      <c r="G146" t="str">
        <f t="shared" si="23"/>
        <v>1</v>
      </c>
      <c r="H146" t="str">
        <f t="shared" si="24"/>
        <v>4</v>
      </c>
      <c r="I146" t="str">
        <f t="shared" si="25"/>
        <v>6</v>
      </c>
      <c r="K146" t="str">
        <f t="shared" ref="K146:K209" si="28">+G146</f>
        <v>1</v>
      </c>
      <c r="L146" t="str">
        <f t="shared" ref="L146:L209" si="29">+H146</f>
        <v>4</v>
      </c>
      <c r="M146" t="str">
        <f t="shared" ref="M146:M209" si="30">+I146</f>
        <v>6</v>
      </c>
      <c r="O146" s="69">
        <f t="shared" si="22"/>
        <v>11</v>
      </c>
      <c r="P146">
        <f t="shared" si="26"/>
        <v>66</v>
      </c>
      <c r="Q146" t="str">
        <f t="shared" si="27"/>
        <v xml:space="preserve"> </v>
      </c>
    </row>
    <row r="147" spans="1:17" x14ac:dyDescent="0.25">
      <c r="A147">
        <v>0</v>
      </c>
      <c r="E147">
        <v>147</v>
      </c>
      <c r="G147" t="str">
        <f t="shared" si="23"/>
        <v>1</v>
      </c>
      <c r="H147" t="str">
        <f t="shared" si="24"/>
        <v>4</v>
      </c>
      <c r="I147" t="str">
        <f t="shared" si="25"/>
        <v>7</v>
      </c>
      <c r="K147" t="str">
        <f t="shared" si="28"/>
        <v>1</v>
      </c>
      <c r="L147" t="str">
        <f t="shared" si="29"/>
        <v>4</v>
      </c>
      <c r="M147" t="str">
        <f t="shared" si="30"/>
        <v>7</v>
      </c>
      <c r="O147" s="69">
        <f t="shared" si="22"/>
        <v>12</v>
      </c>
      <c r="P147">
        <f t="shared" si="26"/>
        <v>72</v>
      </c>
      <c r="Q147" t="str">
        <f t="shared" si="27"/>
        <v xml:space="preserve"> </v>
      </c>
    </row>
    <row r="148" spans="1:17" x14ac:dyDescent="0.25">
      <c r="A148">
        <v>0</v>
      </c>
      <c r="E148">
        <v>148</v>
      </c>
      <c r="G148" t="str">
        <f t="shared" si="23"/>
        <v>1</v>
      </c>
      <c r="H148" t="str">
        <f t="shared" si="24"/>
        <v>4</v>
      </c>
      <c r="I148" t="str">
        <f t="shared" si="25"/>
        <v>8</v>
      </c>
      <c r="K148" t="str">
        <f t="shared" si="28"/>
        <v>1</v>
      </c>
      <c r="L148" t="str">
        <f t="shared" si="29"/>
        <v>4</v>
      </c>
      <c r="M148" t="str">
        <f t="shared" si="30"/>
        <v>8</v>
      </c>
      <c r="O148" s="69">
        <f t="shared" si="22"/>
        <v>13</v>
      </c>
      <c r="P148">
        <f t="shared" si="26"/>
        <v>78</v>
      </c>
      <c r="Q148" t="str">
        <f t="shared" si="27"/>
        <v xml:space="preserve"> </v>
      </c>
    </row>
    <row r="149" spans="1:17" x14ac:dyDescent="0.25">
      <c r="A149">
        <v>0</v>
      </c>
      <c r="E149">
        <v>149</v>
      </c>
      <c r="G149" t="str">
        <f t="shared" si="23"/>
        <v>1</v>
      </c>
      <c r="H149" t="str">
        <f t="shared" si="24"/>
        <v>4</v>
      </c>
      <c r="I149" t="str">
        <f t="shared" si="25"/>
        <v>9</v>
      </c>
      <c r="K149" t="str">
        <f t="shared" si="28"/>
        <v>1</v>
      </c>
      <c r="L149" t="str">
        <f t="shared" si="29"/>
        <v>4</v>
      </c>
      <c r="M149" t="str">
        <f t="shared" si="30"/>
        <v>9</v>
      </c>
      <c r="O149" s="69">
        <f t="shared" si="22"/>
        <v>14</v>
      </c>
      <c r="P149">
        <f t="shared" si="26"/>
        <v>84</v>
      </c>
      <c r="Q149" t="str">
        <f t="shared" si="27"/>
        <v xml:space="preserve"> </v>
      </c>
    </row>
    <row r="150" spans="1:17" x14ac:dyDescent="0.25">
      <c r="A150">
        <v>0</v>
      </c>
      <c r="E150">
        <v>150</v>
      </c>
      <c r="G150" t="str">
        <f t="shared" si="23"/>
        <v>1</v>
      </c>
      <c r="H150" t="str">
        <f t="shared" si="24"/>
        <v>5</v>
      </c>
      <c r="I150" t="str">
        <f t="shared" si="25"/>
        <v>0</v>
      </c>
      <c r="K150" t="str">
        <f t="shared" si="28"/>
        <v>1</v>
      </c>
      <c r="L150" t="str">
        <f t="shared" si="29"/>
        <v>5</v>
      </c>
      <c r="M150" t="str">
        <f t="shared" si="30"/>
        <v>0</v>
      </c>
      <c r="O150" s="69">
        <f t="shared" si="22"/>
        <v>6</v>
      </c>
      <c r="P150">
        <f t="shared" si="26"/>
        <v>36</v>
      </c>
      <c r="Q150" t="str">
        <f t="shared" si="27"/>
        <v xml:space="preserve"> </v>
      </c>
    </row>
    <row r="151" spans="1:17" x14ac:dyDescent="0.25">
      <c r="A151">
        <v>0</v>
      </c>
      <c r="E151">
        <v>151</v>
      </c>
      <c r="G151" t="str">
        <f t="shared" si="23"/>
        <v>1</v>
      </c>
      <c r="H151" t="str">
        <f t="shared" si="24"/>
        <v>5</v>
      </c>
      <c r="I151" t="str">
        <f t="shared" si="25"/>
        <v>1</v>
      </c>
      <c r="K151" t="str">
        <f t="shared" si="28"/>
        <v>1</v>
      </c>
      <c r="L151" t="str">
        <f t="shared" si="29"/>
        <v>5</v>
      </c>
      <c r="M151" t="str">
        <f t="shared" si="30"/>
        <v>1</v>
      </c>
      <c r="O151" s="69">
        <f t="shared" si="22"/>
        <v>7</v>
      </c>
      <c r="P151">
        <f t="shared" si="26"/>
        <v>42</v>
      </c>
      <c r="Q151" t="str">
        <f t="shared" si="27"/>
        <v xml:space="preserve"> </v>
      </c>
    </row>
    <row r="152" spans="1:17" x14ac:dyDescent="0.25">
      <c r="A152">
        <v>0</v>
      </c>
      <c r="E152">
        <v>152</v>
      </c>
      <c r="G152" t="str">
        <f t="shared" si="23"/>
        <v>1</v>
      </c>
      <c r="H152" t="str">
        <f t="shared" si="24"/>
        <v>5</v>
      </c>
      <c r="I152" t="str">
        <f t="shared" si="25"/>
        <v>2</v>
      </c>
      <c r="K152" t="str">
        <f t="shared" si="28"/>
        <v>1</v>
      </c>
      <c r="L152" t="str">
        <f t="shared" si="29"/>
        <v>5</v>
      </c>
      <c r="M152" t="str">
        <f t="shared" si="30"/>
        <v>2</v>
      </c>
      <c r="O152" s="69">
        <f t="shared" si="22"/>
        <v>8</v>
      </c>
      <c r="P152">
        <f t="shared" si="26"/>
        <v>48</v>
      </c>
      <c r="Q152" t="str">
        <f t="shared" si="27"/>
        <v xml:space="preserve"> </v>
      </c>
    </row>
    <row r="153" spans="1:17" x14ac:dyDescent="0.25">
      <c r="A153">
        <v>0</v>
      </c>
      <c r="E153">
        <v>153</v>
      </c>
      <c r="G153" t="str">
        <f t="shared" si="23"/>
        <v>1</v>
      </c>
      <c r="H153" t="str">
        <f t="shared" si="24"/>
        <v>5</v>
      </c>
      <c r="I153" t="str">
        <f t="shared" si="25"/>
        <v>3</v>
      </c>
      <c r="K153" t="str">
        <f t="shared" si="28"/>
        <v>1</v>
      </c>
      <c r="L153" t="str">
        <f t="shared" si="29"/>
        <v>5</v>
      </c>
      <c r="M153" t="str">
        <f t="shared" si="30"/>
        <v>3</v>
      </c>
      <c r="O153" s="69">
        <f t="shared" si="22"/>
        <v>9</v>
      </c>
      <c r="P153">
        <f t="shared" si="26"/>
        <v>54</v>
      </c>
      <c r="Q153" t="str">
        <f t="shared" si="27"/>
        <v xml:space="preserve"> </v>
      </c>
    </row>
    <row r="154" spans="1:17" x14ac:dyDescent="0.25">
      <c r="A154">
        <v>0</v>
      </c>
      <c r="E154">
        <v>154</v>
      </c>
      <c r="G154" t="str">
        <f t="shared" si="23"/>
        <v>1</v>
      </c>
      <c r="H154" t="str">
        <f t="shared" si="24"/>
        <v>5</v>
      </c>
      <c r="I154" t="str">
        <f t="shared" si="25"/>
        <v>4</v>
      </c>
      <c r="K154" t="str">
        <f t="shared" si="28"/>
        <v>1</v>
      </c>
      <c r="L154" t="str">
        <f t="shared" si="29"/>
        <v>5</v>
      </c>
      <c r="M154" t="str">
        <f t="shared" si="30"/>
        <v>4</v>
      </c>
      <c r="O154" s="69">
        <f t="shared" si="22"/>
        <v>10</v>
      </c>
      <c r="P154">
        <f t="shared" si="26"/>
        <v>60</v>
      </c>
      <c r="Q154" t="str">
        <f t="shared" si="27"/>
        <v xml:space="preserve"> </v>
      </c>
    </row>
    <row r="155" spans="1:17" x14ac:dyDescent="0.25">
      <c r="A155">
        <v>0</v>
      </c>
      <c r="E155">
        <v>155</v>
      </c>
      <c r="G155" t="str">
        <f t="shared" si="23"/>
        <v>1</v>
      </c>
      <c r="H155" t="str">
        <f t="shared" si="24"/>
        <v>5</v>
      </c>
      <c r="I155" t="str">
        <f t="shared" si="25"/>
        <v>5</v>
      </c>
      <c r="K155" t="str">
        <f t="shared" si="28"/>
        <v>1</v>
      </c>
      <c r="L155" t="str">
        <f t="shared" si="29"/>
        <v>5</v>
      </c>
      <c r="M155" t="str">
        <f t="shared" si="30"/>
        <v>5</v>
      </c>
      <c r="O155" s="69">
        <f t="shared" si="22"/>
        <v>11</v>
      </c>
      <c r="P155">
        <f t="shared" si="26"/>
        <v>66</v>
      </c>
      <c r="Q155" t="str">
        <f t="shared" si="27"/>
        <v xml:space="preserve"> </v>
      </c>
    </row>
    <row r="156" spans="1:17" x14ac:dyDescent="0.25">
      <c r="A156">
        <v>0</v>
      </c>
      <c r="E156">
        <v>156</v>
      </c>
      <c r="G156" t="str">
        <f t="shared" si="23"/>
        <v>1</v>
      </c>
      <c r="H156" t="str">
        <f t="shared" si="24"/>
        <v>5</v>
      </c>
      <c r="I156" t="str">
        <f t="shared" si="25"/>
        <v>6</v>
      </c>
      <c r="K156" t="str">
        <f t="shared" si="28"/>
        <v>1</v>
      </c>
      <c r="L156" t="str">
        <f t="shared" si="29"/>
        <v>5</v>
      </c>
      <c r="M156" t="str">
        <f t="shared" si="30"/>
        <v>6</v>
      </c>
      <c r="O156" s="69">
        <f t="shared" si="22"/>
        <v>12</v>
      </c>
      <c r="P156">
        <f t="shared" si="26"/>
        <v>72</v>
      </c>
      <c r="Q156" t="str">
        <f t="shared" si="27"/>
        <v xml:space="preserve"> </v>
      </c>
    </row>
    <row r="157" spans="1:17" x14ac:dyDescent="0.25">
      <c r="A157">
        <v>0</v>
      </c>
      <c r="E157">
        <v>157</v>
      </c>
      <c r="G157" t="str">
        <f t="shared" si="23"/>
        <v>1</v>
      </c>
      <c r="H157" t="str">
        <f t="shared" si="24"/>
        <v>5</v>
      </c>
      <c r="I157" t="str">
        <f t="shared" si="25"/>
        <v>7</v>
      </c>
      <c r="K157" t="str">
        <f t="shared" si="28"/>
        <v>1</v>
      </c>
      <c r="L157" t="str">
        <f t="shared" si="29"/>
        <v>5</v>
      </c>
      <c r="M157" t="str">
        <f t="shared" si="30"/>
        <v>7</v>
      </c>
      <c r="O157" s="69">
        <f t="shared" si="22"/>
        <v>13</v>
      </c>
      <c r="P157">
        <f t="shared" si="26"/>
        <v>78</v>
      </c>
      <c r="Q157" t="str">
        <f t="shared" si="27"/>
        <v xml:space="preserve"> </v>
      </c>
    </row>
    <row r="158" spans="1:17" x14ac:dyDescent="0.25">
      <c r="A158">
        <v>0</v>
      </c>
      <c r="E158">
        <v>158</v>
      </c>
      <c r="G158" t="str">
        <f t="shared" si="23"/>
        <v>1</v>
      </c>
      <c r="H158" t="str">
        <f t="shared" si="24"/>
        <v>5</v>
      </c>
      <c r="I158" t="str">
        <f t="shared" si="25"/>
        <v>8</v>
      </c>
      <c r="K158" t="str">
        <f t="shared" si="28"/>
        <v>1</v>
      </c>
      <c r="L158" t="str">
        <f t="shared" si="29"/>
        <v>5</v>
      </c>
      <c r="M158" t="str">
        <f t="shared" si="30"/>
        <v>8</v>
      </c>
      <c r="O158" s="69">
        <f t="shared" si="22"/>
        <v>14</v>
      </c>
      <c r="P158">
        <f t="shared" si="26"/>
        <v>84</v>
      </c>
      <c r="Q158" t="str">
        <f t="shared" si="27"/>
        <v xml:space="preserve"> </v>
      </c>
    </row>
    <row r="159" spans="1:17" x14ac:dyDescent="0.25">
      <c r="A159">
        <v>0</v>
      </c>
      <c r="E159">
        <v>159</v>
      </c>
      <c r="G159" t="str">
        <f t="shared" si="23"/>
        <v>1</v>
      </c>
      <c r="H159" t="str">
        <f t="shared" si="24"/>
        <v>5</v>
      </c>
      <c r="I159" t="str">
        <f t="shared" si="25"/>
        <v>9</v>
      </c>
      <c r="K159" t="str">
        <f t="shared" si="28"/>
        <v>1</v>
      </c>
      <c r="L159" t="str">
        <f t="shared" si="29"/>
        <v>5</v>
      </c>
      <c r="M159" t="str">
        <f t="shared" si="30"/>
        <v>9</v>
      </c>
      <c r="O159" s="69">
        <f t="shared" si="22"/>
        <v>15</v>
      </c>
      <c r="P159">
        <f t="shared" si="26"/>
        <v>90</v>
      </c>
      <c r="Q159" t="str">
        <f t="shared" si="27"/>
        <v xml:space="preserve"> </v>
      </c>
    </row>
    <row r="160" spans="1:17" x14ac:dyDescent="0.25">
      <c r="A160">
        <v>0</v>
      </c>
      <c r="E160">
        <v>160</v>
      </c>
      <c r="G160" t="str">
        <f t="shared" si="23"/>
        <v>1</v>
      </c>
      <c r="H160" t="str">
        <f t="shared" si="24"/>
        <v>6</v>
      </c>
      <c r="I160" t="str">
        <f t="shared" si="25"/>
        <v>0</v>
      </c>
      <c r="K160" t="str">
        <f t="shared" si="28"/>
        <v>1</v>
      </c>
      <c r="L160" t="str">
        <f t="shared" si="29"/>
        <v>6</v>
      </c>
      <c r="M160" t="str">
        <f t="shared" si="30"/>
        <v>0</v>
      </c>
      <c r="O160" s="69">
        <f t="shared" si="22"/>
        <v>7</v>
      </c>
      <c r="P160">
        <f t="shared" si="26"/>
        <v>42</v>
      </c>
      <c r="Q160" t="str">
        <f t="shared" si="27"/>
        <v xml:space="preserve"> </v>
      </c>
    </row>
    <row r="161" spans="1:17" x14ac:dyDescent="0.25">
      <c r="A161">
        <v>0</v>
      </c>
      <c r="E161">
        <v>161</v>
      </c>
      <c r="G161" t="str">
        <f t="shared" si="23"/>
        <v>1</v>
      </c>
      <c r="H161" t="str">
        <f t="shared" si="24"/>
        <v>6</v>
      </c>
      <c r="I161" t="str">
        <f t="shared" si="25"/>
        <v>1</v>
      </c>
      <c r="K161" t="str">
        <f t="shared" si="28"/>
        <v>1</v>
      </c>
      <c r="L161" t="str">
        <f t="shared" si="29"/>
        <v>6</v>
      </c>
      <c r="M161" t="str">
        <f t="shared" si="30"/>
        <v>1</v>
      </c>
      <c r="O161" s="69">
        <f t="shared" si="22"/>
        <v>8</v>
      </c>
      <c r="P161">
        <f t="shared" si="26"/>
        <v>48</v>
      </c>
      <c r="Q161" t="str">
        <f t="shared" si="27"/>
        <v xml:space="preserve"> </v>
      </c>
    </row>
    <row r="162" spans="1:17" x14ac:dyDescent="0.25">
      <c r="A162">
        <v>0</v>
      </c>
      <c r="E162">
        <v>162</v>
      </c>
      <c r="G162" t="str">
        <f t="shared" si="23"/>
        <v>1</v>
      </c>
      <c r="H162" t="str">
        <f t="shared" si="24"/>
        <v>6</v>
      </c>
      <c r="I162" t="str">
        <f t="shared" si="25"/>
        <v>2</v>
      </c>
      <c r="K162" t="str">
        <f t="shared" si="28"/>
        <v>1</v>
      </c>
      <c r="L162" t="str">
        <f t="shared" si="29"/>
        <v>6</v>
      </c>
      <c r="M162" t="str">
        <f t="shared" si="30"/>
        <v>2</v>
      </c>
      <c r="O162" s="69">
        <f t="shared" si="22"/>
        <v>9</v>
      </c>
      <c r="P162">
        <f t="shared" si="26"/>
        <v>54</v>
      </c>
      <c r="Q162" t="str">
        <f t="shared" si="27"/>
        <v xml:space="preserve"> </v>
      </c>
    </row>
    <row r="163" spans="1:17" x14ac:dyDescent="0.25">
      <c r="A163">
        <v>0</v>
      </c>
      <c r="E163">
        <v>163</v>
      </c>
      <c r="G163" t="str">
        <f t="shared" si="23"/>
        <v>1</v>
      </c>
      <c r="H163" t="str">
        <f t="shared" si="24"/>
        <v>6</v>
      </c>
      <c r="I163" t="str">
        <f t="shared" si="25"/>
        <v>3</v>
      </c>
      <c r="K163" t="str">
        <f t="shared" si="28"/>
        <v>1</v>
      </c>
      <c r="L163" t="str">
        <f t="shared" si="29"/>
        <v>6</v>
      </c>
      <c r="M163" t="str">
        <f t="shared" si="30"/>
        <v>3</v>
      </c>
      <c r="O163" s="69">
        <f t="shared" si="22"/>
        <v>10</v>
      </c>
      <c r="P163">
        <f t="shared" si="26"/>
        <v>60</v>
      </c>
      <c r="Q163" t="str">
        <f t="shared" si="27"/>
        <v xml:space="preserve"> </v>
      </c>
    </row>
    <row r="164" spans="1:17" x14ac:dyDescent="0.25">
      <c r="A164">
        <v>0</v>
      </c>
      <c r="E164">
        <v>164</v>
      </c>
      <c r="G164" t="str">
        <f t="shared" si="23"/>
        <v>1</v>
      </c>
      <c r="H164" t="str">
        <f t="shared" si="24"/>
        <v>6</v>
      </c>
      <c r="I164" t="str">
        <f t="shared" si="25"/>
        <v>4</v>
      </c>
      <c r="K164" t="str">
        <f t="shared" si="28"/>
        <v>1</v>
      </c>
      <c r="L164" t="str">
        <f t="shared" si="29"/>
        <v>6</v>
      </c>
      <c r="M164" t="str">
        <f t="shared" si="30"/>
        <v>4</v>
      </c>
      <c r="O164" s="69">
        <f t="shared" si="22"/>
        <v>11</v>
      </c>
      <c r="P164">
        <f t="shared" si="26"/>
        <v>66</v>
      </c>
      <c r="Q164" t="str">
        <f t="shared" si="27"/>
        <v xml:space="preserve"> </v>
      </c>
    </row>
    <row r="165" spans="1:17" x14ac:dyDescent="0.25">
      <c r="A165">
        <v>0</v>
      </c>
      <c r="E165">
        <v>165</v>
      </c>
      <c r="G165" t="str">
        <f t="shared" si="23"/>
        <v>1</v>
      </c>
      <c r="H165" t="str">
        <f t="shared" si="24"/>
        <v>6</v>
      </c>
      <c r="I165" t="str">
        <f t="shared" si="25"/>
        <v>5</v>
      </c>
      <c r="K165" t="str">
        <f t="shared" si="28"/>
        <v>1</v>
      </c>
      <c r="L165" t="str">
        <f t="shared" si="29"/>
        <v>6</v>
      </c>
      <c r="M165" t="str">
        <f t="shared" si="30"/>
        <v>5</v>
      </c>
      <c r="O165" s="69">
        <f t="shared" ref="O165:O228" si="31">+K165+L165+M165</f>
        <v>12</v>
      </c>
      <c r="P165">
        <f t="shared" si="26"/>
        <v>72</v>
      </c>
      <c r="Q165" t="str">
        <f t="shared" si="27"/>
        <v xml:space="preserve"> </v>
      </c>
    </row>
    <row r="166" spans="1:17" x14ac:dyDescent="0.25">
      <c r="A166">
        <v>0</v>
      </c>
      <c r="E166">
        <v>166</v>
      </c>
      <c r="G166" t="str">
        <f t="shared" si="23"/>
        <v>1</v>
      </c>
      <c r="H166" t="str">
        <f t="shared" si="24"/>
        <v>6</v>
      </c>
      <c r="I166" t="str">
        <f t="shared" si="25"/>
        <v>6</v>
      </c>
      <c r="K166" t="str">
        <f t="shared" si="28"/>
        <v>1</v>
      </c>
      <c r="L166" t="str">
        <f t="shared" si="29"/>
        <v>6</v>
      </c>
      <c r="M166" t="str">
        <f t="shared" si="30"/>
        <v>6</v>
      </c>
      <c r="O166" s="69">
        <f t="shared" si="31"/>
        <v>13</v>
      </c>
      <c r="P166">
        <f t="shared" si="26"/>
        <v>78</v>
      </c>
      <c r="Q166" t="str">
        <f t="shared" si="27"/>
        <v xml:space="preserve"> </v>
      </c>
    </row>
    <row r="167" spans="1:17" x14ac:dyDescent="0.25">
      <c r="A167">
        <v>0</v>
      </c>
      <c r="E167">
        <v>167</v>
      </c>
      <c r="G167" t="str">
        <f t="shared" si="23"/>
        <v>1</v>
      </c>
      <c r="H167" t="str">
        <f t="shared" si="24"/>
        <v>6</v>
      </c>
      <c r="I167" t="str">
        <f t="shared" si="25"/>
        <v>7</v>
      </c>
      <c r="K167" t="str">
        <f t="shared" si="28"/>
        <v>1</v>
      </c>
      <c r="L167" t="str">
        <f t="shared" si="29"/>
        <v>6</v>
      </c>
      <c r="M167" t="str">
        <f t="shared" si="30"/>
        <v>7</v>
      </c>
      <c r="O167" s="69">
        <f t="shared" si="31"/>
        <v>14</v>
      </c>
      <c r="P167">
        <f t="shared" si="26"/>
        <v>84</v>
      </c>
      <c r="Q167" t="str">
        <f t="shared" si="27"/>
        <v xml:space="preserve"> </v>
      </c>
    </row>
    <row r="168" spans="1:17" x14ac:dyDescent="0.25">
      <c r="A168">
        <v>0</v>
      </c>
      <c r="E168">
        <v>168</v>
      </c>
      <c r="G168" t="str">
        <f t="shared" si="23"/>
        <v>1</v>
      </c>
      <c r="H168" t="str">
        <f t="shared" si="24"/>
        <v>6</v>
      </c>
      <c r="I168" t="str">
        <f t="shared" si="25"/>
        <v>8</v>
      </c>
      <c r="K168" t="str">
        <f t="shared" si="28"/>
        <v>1</v>
      </c>
      <c r="L168" t="str">
        <f t="shared" si="29"/>
        <v>6</v>
      </c>
      <c r="M168" t="str">
        <f t="shared" si="30"/>
        <v>8</v>
      </c>
      <c r="O168" s="69">
        <f t="shared" si="31"/>
        <v>15</v>
      </c>
      <c r="P168">
        <f t="shared" si="26"/>
        <v>90</v>
      </c>
      <c r="Q168" t="str">
        <f t="shared" si="27"/>
        <v xml:space="preserve"> </v>
      </c>
    </row>
    <row r="169" spans="1:17" x14ac:dyDescent="0.25">
      <c r="A169">
        <v>0</v>
      </c>
      <c r="E169">
        <v>169</v>
      </c>
      <c r="G169" t="str">
        <f t="shared" si="23"/>
        <v>1</v>
      </c>
      <c r="H169" t="str">
        <f t="shared" si="24"/>
        <v>6</v>
      </c>
      <c r="I169" t="str">
        <f t="shared" si="25"/>
        <v>9</v>
      </c>
      <c r="K169" t="str">
        <f t="shared" si="28"/>
        <v>1</v>
      </c>
      <c r="L169" t="str">
        <f t="shared" si="29"/>
        <v>6</v>
      </c>
      <c r="M169" t="str">
        <f t="shared" si="30"/>
        <v>9</v>
      </c>
      <c r="O169" s="69">
        <f t="shared" si="31"/>
        <v>16</v>
      </c>
      <c r="P169">
        <f t="shared" si="26"/>
        <v>96</v>
      </c>
      <c r="Q169" t="str">
        <f t="shared" si="27"/>
        <v xml:space="preserve"> </v>
      </c>
    </row>
    <row r="170" spans="1:17" x14ac:dyDescent="0.25">
      <c r="A170">
        <v>0</v>
      </c>
      <c r="E170">
        <v>170</v>
      </c>
      <c r="G170" t="str">
        <f t="shared" si="23"/>
        <v>1</v>
      </c>
      <c r="H170" t="str">
        <f t="shared" si="24"/>
        <v>7</v>
      </c>
      <c r="I170" t="str">
        <f t="shared" si="25"/>
        <v>0</v>
      </c>
      <c r="K170" t="str">
        <f t="shared" si="28"/>
        <v>1</v>
      </c>
      <c r="L170" t="str">
        <f t="shared" si="29"/>
        <v>7</v>
      </c>
      <c r="M170" t="str">
        <f t="shared" si="30"/>
        <v>0</v>
      </c>
      <c r="O170" s="69">
        <f t="shared" si="31"/>
        <v>8</v>
      </c>
      <c r="P170">
        <f t="shared" si="26"/>
        <v>48</v>
      </c>
      <c r="Q170" t="str">
        <f t="shared" si="27"/>
        <v xml:space="preserve"> </v>
      </c>
    </row>
    <row r="171" spans="1:17" x14ac:dyDescent="0.25">
      <c r="A171">
        <v>0</v>
      </c>
      <c r="E171">
        <v>171</v>
      </c>
      <c r="G171" t="str">
        <f t="shared" si="23"/>
        <v>1</v>
      </c>
      <c r="H171" t="str">
        <f t="shared" si="24"/>
        <v>7</v>
      </c>
      <c r="I171" t="str">
        <f t="shared" si="25"/>
        <v>1</v>
      </c>
      <c r="K171" t="str">
        <f t="shared" si="28"/>
        <v>1</v>
      </c>
      <c r="L171" t="str">
        <f t="shared" si="29"/>
        <v>7</v>
      </c>
      <c r="M171" t="str">
        <f t="shared" si="30"/>
        <v>1</v>
      </c>
      <c r="O171" s="69">
        <f t="shared" si="31"/>
        <v>9</v>
      </c>
      <c r="P171">
        <f t="shared" si="26"/>
        <v>54</v>
      </c>
      <c r="Q171" t="str">
        <f t="shared" si="27"/>
        <v xml:space="preserve"> </v>
      </c>
    </row>
    <row r="172" spans="1:17" x14ac:dyDescent="0.25">
      <c r="A172">
        <v>0</v>
      </c>
      <c r="E172">
        <v>172</v>
      </c>
      <c r="G172" t="str">
        <f t="shared" si="23"/>
        <v>1</v>
      </c>
      <c r="H172" t="str">
        <f t="shared" si="24"/>
        <v>7</v>
      </c>
      <c r="I172" t="str">
        <f t="shared" si="25"/>
        <v>2</v>
      </c>
      <c r="K172" t="str">
        <f t="shared" si="28"/>
        <v>1</v>
      </c>
      <c r="L172" t="str">
        <f t="shared" si="29"/>
        <v>7</v>
      </c>
      <c r="M172" t="str">
        <f t="shared" si="30"/>
        <v>2</v>
      </c>
      <c r="O172" s="69">
        <f t="shared" si="31"/>
        <v>10</v>
      </c>
      <c r="P172">
        <f t="shared" si="26"/>
        <v>60</v>
      </c>
      <c r="Q172" t="str">
        <f t="shared" si="27"/>
        <v xml:space="preserve"> </v>
      </c>
    </row>
    <row r="173" spans="1:17" x14ac:dyDescent="0.25">
      <c r="A173">
        <v>0</v>
      </c>
      <c r="E173">
        <v>173</v>
      </c>
      <c r="G173" t="str">
        <f t="shared" si="23"/>
        <v>1</v>
      </c>
      <c r="H173" t="str">
        <f t="shared" si="24"/>
        <v>7</v>
      </c>
      <c r="I173" t="str">
        <f t="shared" si="25"/>
        <v>3</v>
      </c>
      <c r="K173" t="str">
        <f t="shared" si="28"/>
        <v>1</v>
      </c>
      <c r="L173" t="str">
        <f t="shared" si="29"/>
        <v>7</v>
      </c>
      <c r="M173" t="str">
        <f t="shared" si="30"/>
        <v>3</v>
      </c>
      <c r="O173" s="69">
        <f t="shared" si="31"/>
        <v>11</v>
      </c>
      <c r="P173">
        <f t="shared" si="26"/>
        <v>66</v>
      </c>
      <c r="Q173" t="str">
        <f t="shared" si="27"/>
        <v xml:space="preserve"> </v>
      </c>
    </row>
    <row r="174" spans="1:17" x14ac:dyDescent="0.25">
      <c r="A174">
        <v>0</v>
      </c>
      <c r="E174">
        <v>174</v>
      </c>
      <c r="G174" t="str">
        <f t="shared" si="23"/>
        <v>1</v>
      </c>
      <c r="H174" t="str">
        <f t="shared" si="24"/>
        <v>7</v>
      </c>
      <c r="I174" t="str">
        <f t="shared" si="25"/>
        <v>4</v>
      </c>
      <c r="K174" t="str">
        <f t="shared" si="28"/>
        <v>1</v>
      </c>
      <c r="L174" t="str">
        <f t="shared" si="29"/>
        <v>7</v>
      </c>
      <c r="M174" t="str">
        <f t="shared" si="30"/>
        <v>4</v>
      </c>
      <c r="O174" s="69">
        <f t="shared" si="31"/>
        <v>12</v>
      </c>
      <c r="P174">
        <f t="shared" si="26"/>
        <v>72</v>
      </c>
      <c r="Q174" t="str">
        <f t="shared" si="27"/>
        <v xml:space="preserve"> </v>
      </c>
    </row>
    <row r="175" spans="1:17" x14ac:dyDescent="0.25">
      <c r="A175">
        <v>0</v>
      </c>
      <c r="E175">
        <v>175</v>
      </c>
      <c r="G175" t="str">
        <f t="shared" si="23"/>
        <v>1</v>
      </c>
      <c r="H175" t="str">
        <f t="shared" si="24"/>
        <v>7</v>
      </c>
      <c r="I175" t="str">
        <f t="shared" si="25"/>
        <v>5</v>
      </c>
      <c r="K175" t="str">
        <f t="shared" si="28"/>
        <v>1</v>
      </c>
      <c r="L175" t="str">
        <f t="shared" si="29"/>
        <v>7</v>
      </c>
      <c r="M175" t="str">
        <f t="shared" si="30"/>
        <v>5</v>
      </c>
      <c r="O175" s="69">
        <f t="shared" si="31"/>
        <v>13</v>
      </c>
      <c r="P175">
        <f t="shared" si="26"/>
        <v>78</v>
      </c>
      <c r="Q175" t="str">
        <f t="shared" si="27"/>
        <v xml:space="preserve"> </v>
      </c>
    </row>
    <row r="176" spans="1:17" x14ac:dyDescent="0.25">
      <c r="A176">
        <v>0</v>
      </c>
      <c r="E176">
        <v>176</v>
      </c>
      <c r="G176" t="str">
        <f t="shared" si="23"/>
        <v>1</v>
      </c>
      <c r="H176" t="str">
        <f t="shared" si="24"/>
        <v>7</v>
      </c>
      <c r="I176" t="str">
        <f t="shared" si="25"/>
        <v>6</v>
      </c>
      <c r="K176" t="str">
        <f t="shared" si="28"/>
        <v>1</v>
      </c>
      <c r="L176" t="str">
        <f t="shared" si="29"/>
        <v>7</v>
      </c>
      <c r="M176" t="str">
        <f t="shared" si="30"/>
        <v>6</v>
      </c>
      <c r="O176" s="69">
        <f t="shared" si="31"/>
        <v>14</v>
      </c>
      <c r="P176">
        <f t="shared" si="26"/>
        <v>84</v>
      </c>
      <c r="Q176" t="str">
        <f t="shared" si="27"/>
        <v xml:space="preserve"> </v>
      </c>
    </row>
    <row r="177" spans="1:17" x14ac:dyDescent="0.25">
      <c r="A177">
        <v>0</v>
      </c>
      <c r="E177">
        <v>177</v>
      </c>
      <c r="G177" t="str">
        <f t="shared" si="23"/>
        <v>1</v>
      </c>
      <c r="H177" t="str">
        <f t="shared" si="24"/>
        <v>7</v>
      </c>
      <c r="I177" t="str">
        <f t="shared" si="25"/>
        <v>7</v>
      </c>
      <c r="K177" t="str">
        <f t="shared" si="28"/>
        <v>1</v>
      </c>
      <c r="L177" t="str">
        <f t="shared" si="29"/>
        <v>7</v>
      </c>
      <c r="M177" t="str">
        <f t="shared" si="30"/>
        <v>7</v>
      </c>
      <c r="O177" s="69">
        <f t="shared" si="31"/>
        <v>15</v>
      </c>
      <c r="P177">
        <f t="shared" si="26"/>
        <v>90</v>
      </c>
      <c r="Q177" t="str">
        <f t="shared" si="27"/>
        <v xml:space="preserve"> </v>
      </c>
    </row>
    <row r="178" spans="1:17" x14ac:dyDescent="0.25">
      <c r="A178">
        <v>0</v>
      </c>
      <c r="E178">
        <v>178</v>
      </c>
      <c r="G178" t="str">
        <f t="shared" si="23"/>
        <v>1</v>
      </c>
      <c r="H178" t="str">
        <f t="shared" si="24"/>
        <v>7</v>
      </c>
      <c r="I178" t="str">
        <f t="shared" si="25"/>
        <v>8</v>
      </c>
      <c r="K178" t="str">
        <f t="shared" si="28"/>
        <v>1</v>
      </c>
      <c r="L178" t="str">
        <f t="shared" si="29"/>
        <v>7</v>
      </c>
      <c r="M178" t="str">
        <f t="shared" si="30"/>
        <v>8</v>
      </c>
      <c r="O178" s="69">
        <f t="shared" si="31"/>
        <v>16</v>
      </c>
      <c r="P178">
        <f t="shared" si="26"/>
        <v>96</v>
      </c>
      <c r="Q178" t="str">
        <f t="shared" si="27"/>
        <v xml:space="preserve"> </v>
      </c>
    </row>
    <row r="179" spans="1:17" x14ac:dyDescent="0.25">
      <c r="A179">
        <v>0</v>
      </c>
      <c r="E179">
        <v>179</v>
      </c>
      <c r="G179" t="str">
        <f t="shared" si="23"/>
        <v>1</v>
      </c>
      <c r="H179" t="str">
        <f t="shared" si="24"/>
        <v>7</v>
      </c>
      <c r="I179" t="str">
        <f t="shared" si="25"/>
        <v>9</v>
      </c>
      <c r="K179" t="str">
        <f t="shared" si="28"/>
        <v>1</v>
      </c>
      <c r="L179" t="str">
        <f t="shared" si="29"/>
        <v>7</v>
      </c>
      <c r="M179" t="str">
        <f t="shared" si="30"/>
        <v>9</v>
      </c>
      <c r="O179" s="69">
        <f t="shared" si="31"/>
        <v>17</v>
      </c>
      <c r="P179">
        <f t="shared" si="26"/>
        <v>102</v>
      </c>
      <c r="Q179" t="str">
        <f t="shared" si="27"/>
        <v xml:space="preserve"> </v>
      </c>
    </row>
    <row r="180" spans="1:17" x14ac:dyDescent="0.25">
      <c r="A180">
        <v>0</v>
      </c>
      <c r="E180">
        <v>180</v>
      </c>
      <c r="G180" t="str">
        <f t="shared" si="23"/>
        <v>1</v>
      </c>
      <c r="H180" t="str">
        <f t="shared" si="24"/>
        <v>8</v>
      </c>
      <c r="I180" t="str">
        <f t="shared" si="25"/>
        <v>0</v>
      </c>
      <c r="K180" t="str">
        <f t="shared" si="28"/>
        <v>1</v>
      </c>
      <c r="L180" t="str">
        <f t="shared" si="29"/>
        <v>8</v>
      </c>
      <c r="M180" t="str">
        <f t="shared" si="30"/>
        <v>0</v>
      </c>
      <c r="O180" s="69">
        <f t="shared" si="31"/>
        <v>9</v>
      </c>
      <c r="P180">
        <f t="shared" si="26"/>
        <v>54</v>
      </c>
      <c r="Q180" t="str">
        <f t="shared" si="27"/>
        <v xml:space="preserve"> </v>
      </c>
    </row>
    <row r="181" spans="1:17" x14ac:dyDescent="0.25">
      <c r="A181">
        <v>0</v>
      </c>
      <c r="E181">
        <v>181</v>
      </c>
      <c r="G181" t="str">
        <f t="shared" si="23"/>
        <v>1</v>
      </c>
      <c r="H181" t="str">
        <f t="shared" si="24"/>
        <v>8</v>
      </c>
      <c r="I181" t="str">
        <f t="shared" si="25"/>
        <v>1</v>
      </c>
      <c r="K181" t="str">
        <f t="shared" si="28"/>
        <v>1</v>
      </c>
      <c r="L181" t="str">
        <f t="shared" si="29"/>
        <v>8</v>
      </c>
      <c r="M181" t="str">
        <f t="shared" si="30"/>
        <v>1</v>
      </c>
      <c r="O181" s="69">
        <f t="shared" si="31"/>
        <v>10</v>
      </c>
      <c r="P181">
        <f t="shared" si="26"/>
        <v>60</v>
      </c>
      <c r="Q181" t="str">
        <f t="shared" si="27"/>
        <v xml:space="preserve"> </v>
      </c>
    </row>
    <row r="182" spans="1:17" x14ac:dyDescent="0.25">
      <c r="A182">
        <v>0</v>
      </c>
      <c r="E182">
        <v>182</v>
      </c>
      <c r="G182" t="str">
        <f t="shared" si="23"/>
        <v>1</v>
      </c>
      <c r="H182" t="str">
        <f t="shared" si="24"/>
        <v>8</v>
      </c>
      <c r="I182" t="str">
        <f t="shared" si="25"/>
        <v>2</v>
      </c>
      <c r="K182" t="str">
        <f t="shared" si="28"/>
        <v>1</v>
      </c>
      <c r="L182" t="str">
        <f t="shared" si="29"/>
        <v>8</v>
      </c>
      <c r="M182" t="str">
        <f t="shared" si="30"/>
        <v>2</v>
      </c>
      <c r="O182" s="69">
        <f t="shared" si="31"/>
        <v>11</v>
      </c>
      <c r="P182">
        <f t="shared" si="26"/>
        <v>66</v>
      </c>
      <c r="Q182" t="str">
        <f t="shared" si="27"/>
        <v xml:space="preserve"> </v>
      </c>
    </row>
    <row r="183" spans="1:17" x14ac:dyDescent="0.25">
      <c r="A183">
        <v>0</v>
      </c>
      <c r="E183">
        <v>183</v>
      </c>
      <c r="G183" t="str">
        <f t="shared" si="23"/>
        <v>1</v>
      </c>
      <c r="H183" t="str">
        <f t="shared" si="24"/>
        <v>8</v>
      </c>
      <c r="I183" t="str">
        <f t="shared" si="25"/>
        <v>3</v>
      </c>
      <c r="K183" t="str">
        <f t="shared" si="28"/>
        <v>1</v>
      </c>
      <c r="L183" t="str">
        <f t="shared" si="29"/>
        <v>8</v>
      </c>
      <c r="M183" t="str">
        <f t="shared" si="30"/>
        <v>3</v>
      </c>
      <c r="O183" s="69">
        <f t="shared" si="31"/>
        <v>12</v>
      </c>
      <c r="P183">
        <f t="shared" si="26"/>
        <v>72</v>
      </c>
      <c r="Q183" t="str">
        <f t="shared" si="27"/>
        <v xml:space="preserve"> </v>
      </c>
    </row>
    <row r="184" spans="1:17" x14ac:dyDescent="0.25">
      <c r="A184">
        <v>0</v>
      </c>
      <c r="E184">
        <v>184</v>
      </c>
      <c r="G184" t="str">
        <f t="shared" si="23"/>
        <v>1</v>
      </c>
      <c r="H184" t="str">
        <f t="shared" si="24"/>
        <v>8</v>
      </c>
      <c r="I184" t="str">
        <f t="shared" si="25"/>
        <v>4</v>
      </c>
      <c r="K184" t="str">
        <f t="shared" si="28"/>
        <v>1</v>
      </c>
      <c r="L184" t="str">
        <f t="shared" si="29"/>
        <v>8</v>
      </c>
      <c r="M184" t="str">
        <f t="shared" si="30"/>
        <v>4</v>
      </c>
      <c r="O184" s="69">
        <f t="shared" si="31"/>
        <v>13</v>
      </c>
      <c r="P184">
        <f t="shared" si="26"/>
        <v>78</v>
      </c>
      <c r="Q184" t="str">
        <f t="shared" si="27"/>
        <v xml:space="preserve"> </v>
      </c>
    </row>
    <row r="185" spans="1:17" x14ac:dyDescent="0.25">
      <c r="A185">
        <v>0</v>
      </c>
      <c r="E185">
        <v>185</v>
      </c>
      <c r="G185" t="str">
        <f t="shared" si="23"/>
        <v>1</v>
      </c>
      <c r="H185" t="str">
        <f t="shared" si="24"/>
        <v>8</v>
      </c>
      <c r="I185" t="str">
        <f t="shared" si="25"/>
        <v>5</v>
      </c>
      <c r="K185" t="str">
        <f t="shared" si="28"/>
        <v>1</v>
      </c>
      <c r="L185" t="str">
        <f t="shared" si="29"/>
        <v>8</v>
      </c>
      <c r="M185" t="str">
        <f t="shared" si="30"/>
        <v>5</v>
      </c>
      <c r="O185" s="69">
        <f t="shared" si="31"/>
        <v>14</v>
      </c>
      <c r="P185">
        <f t="shared" si="26"/>
        <v>84</v>
      </c>
      <c r="Q185" t="str">
        <f t="shared" si="27"/>
        <v xml:space="preserve"> </v>
      </c>
    </row>
    <row r="186" spans="1:17" x14ac:dyDescent="0.25">
      <c r="A186">
        <v>0</v>
      </c>
      <c r="E186">
        <v>186</v>
      </c>
      <c r="G186" t="str">
        <f t="shared" si="23"/>
        <v>1</v>
      </c>
      <c r="H186" t="str">
        <f t="shared" si="24"/>
        <v>8</v>
      </c>
      <c r="I186" t="str">
        <f t="shared" si="25"/>
        <v>6</v>
      </c>
      <c r="K186" t="str">
        <f t="shared" si="28"/>
        <v>1</v>
      </c>
      <c r="L186" t="str">
        <f t="shared" si="29"/>
        <v>8</v>
      </c>
      <c r="M186" t="str">
        <f t="shared" si="30"/>
        <v>6</v>
      </c>
      <c r="O186" s="69">
        <f t="shared" si="31"/>
        <v>15</v>
      </c>
      <c r="P186">
        <f t="shared" si="26"/>
        <v>90</v>
      </c>
      <c r="Q186" t="str">
        <f t="shared" si="27"/>
        <v xml:space="preserve"> </v>
      </c>
    </row>
    <row r="187" spans="1:17" x14ac:dyDescent="0.25">
      <c r="A187">
        <v>0</v>
      </c>
      <c r="E187">
        <v>187</v>
      </c>
      <c r="G187" t="str">
        <f t="shared" si="23"/>
        <v>1</v>
      </c>
      <c r="H187" t="str">
        <f t="shared" si="24"/>
        <v>8</v>
      </c>
      <c r="I187" t="str">
        <f t="shared" si="25"/>
        <v>7</v>
      </c>
      <c r="K187" t="str">
        <f t="shared" si="28"/>
        <v>1</v>
      </c>
      <c r="L187" t="str">
        <f t="shared" si="29"/>
        <v>8</v>
      </c>
      <c r="M187" t="str">
        <f t="shared" si="30"/>
        <v>7</v>
      </c>
      <c r="O187" s="69">
        <f t="shared" si="31"/>
        <v>16</v>
      </c>
      <c r="P187">
        <f t="shared" si="26"/>
        <v>96</v>
      </c>
      <c r="Q187" t="str">
        <f t="shared" si="27"/>
        <v xml:space="preserve"> </v>
      </c>
    </row>
    <row r="188" spans="1:17" x14ac:dyDescent="0.25">
      <c r="A188">
        <v>0</v>
      </c>
      <c r="E188">
        <v>188</v>
      </c>
      <c r="G188" t="str">
        <f t="shared" si="23"/>
        <v>1</v>
      </c>
      <c r="H188" t="str">
        <f t="shared" si="24"/>
        <v>8</v>
      </c>
      <c r="I188" t="str">
        <f t="shared" si="25"/>
        <v>8</v>
      </c>
      <c r="K188" t="str">
        <f t="shared" si="28"/>
        <v>1</v>
      </c>
      <c r="L188" t="str">
        <f t="shared" si="29"/>
        <v>8</v>
      </c>
      <c r="M188" t="str">
        <f t="shared" si="30"/>
        <v>8</v>
      </c>
      <c r="O188" s="69">
        <f t="shared" si="31"/>
        <v>17</v>
      </c>
      <c r="P188">
        <f t="shared" si="26"/>
        <v>102</v>
      </c>
      <c r="Q188" t="str">
        <f t="shared" si="27"/>
        <v xml:space="preserve"> </v>
      </c>
    </row>
    <row r="189" spans="1:17" x14ac:dyDescent="0.25">
      <c r="A189">
        <v>0</v>
      </c>
      <c r="E189">
        <v>189</v>
      </c>
      <c r="G189" t="str">
        <f t="shared" si="23"/>
        <v>1</v>
      </c>
      <c r="H189" t="str">
        <f t="shared" si="24"/>
        <v>8</v>
      </c>
      <c r="I189" t="str">
        <f t="shared" si="25"/>
        <v>9</v>
      </c>
      <c r="K189" t="str">
        <f t="shared" si="28"/>
        <v>1</v>
      </c>
      <c r="L189" t="str">
        <f t="shared" si="29"/>
        <v>8</v>
      </c>
      <c r="M189" t="str">
        <f t="shared" si="30"/>
        <v>9</v>
      </c>
      <c r="O189" s="69">
        <f t="shared" si="31"/>
        <v>18</v>
      </c>
      <c r="P189">
        <f t="shared" si="26"/>
        <v>108</v>
      </c>
      <c r="Q189" t="str">
        <f t="shared" si="27"/>
        <v xml:space="preserve"> </v>
      </c>
    </row>
    <row r="190" spans="1:17" x14ac:dyDescent="0.25">
      <c r="A190">
        <v>0</v>
      </c>
      <c r="E190">
        <v>190</v>
      </c>
      <c r="G190" t="str">
        <f t="shared" si="23"/>
        <v>1</v>
      </c>
      <c r="H190" t="str">
        <f t="shared" si="24"/>
        <v>9</v>
      </c>
      <c r="I190" t="str">
        <f t="shared" si="25"/>
        <v>0</v>
      </c>
      <c r="K190" t="str">
        <f t="shared" si="28"/>
        <v>1</v>
      </c>
      <c r="L190" t="str">
        <f t="shared" si="29"/>
        <v>9</v>
      </c>
      <c r="M190" t="str">
        <f t="shared" si="30"/>
        <v>0</v>
      </c>
      <c r="O190" s="69">
        <f t="shared" si="31"/>
        <v>10</v>
      </c>
      <c r="P190">
        <f t="shared" si="26"/>
        <v>60</v>
      </c>
      <c r="Q190" t="str">
        <f t="shared" si="27"/>
        <v xml:space="preserve"> </v>
      </c>
    </row>
    <row r="191" spans="1:17" x14ac:dyDescent="0.25">
      <c r="A191">
        <v>0</v>
      </c>
      <c r="E191">
        <v>191</v>
      </c>
      <c r="G191" t="str">
        <f t="shared" si="23"/>
        <v>1</v>
      </c>
      <c r="H191" t="str">
        <f t="shared" si="24"/>
        <v>9</v>
      </c>
      <c r="I191" t="str">
        <f t="shared" si="25"/>
        <v>1</v>
      </c>
      <c r="K191" t="str">
        <f t="shared" si="28"/>
        <v>1</v>
      </c>
      <c r="L191" t="str">
        <f t="shared" si="29"/>
        <v>9</v>
      </c>
      <c r="M191" t="str">
        <f t="shared" si="30"/>
        <v>1</v>
      </c>
      <c r="O191" s="69">
        <f t="shared" si="31"/>
        <v>11</v>
      </c>
      <c r="P191">
        <f t="shared" si="26"/>
        <v>66</v>
      </c>
      <c r="Q191" t="str">
        <f t="shared" si="27"/>
        <v xml:space="preserve"> </v>
      </c>
    </row>
    <row r="192" spans="1:17" x14ac:dyDescent="0.25">
      <c r="A192">
        <v>0</v>
      </c>
      <c r="E192">
        <v>192</v>
      </c>
      <c r="G192" t="str">
        <f t="shared" si="23"/>
        <v>1</v>
      </c>
      <c r="H192" t="str">
        <f t="shared" si="24"/>
        <v>9</v>
      </c>
      <c r="I192" t="str">
        <f t="shared" si="25"/>
        <v>2</v>
      </c>
      <c r="K192" t="str">
        <f t="shared" si="28"/>
        <v>1</v>
      </c>
      <c r="L192" t="str">
        <f t="shared" si="29"/>
        <v>9</v>
      </c>
      <c r="M192" t="str">
        <f t="shared" si="30"/>
        <v>2</v>
      </c>
      <c r="O192" s="69">
        <f t="shared" si="31"/>
        <v>12</v>
      </c>
      <c r="P192">
        <f t="shared" si="26"/>
        <v>72</v>
      </c>
      <c r="Q192" t="str">
        <f t="shared" si="27"/>
        <v xml:space="preserve"> </v>
      </c>
    </row>
    <row r="193" spans="1:17" x14ac:dyDescent="0.25">
      <c r="A193">
        <v>0</v>
      </c>
      <c r="E193">
        <v>193</v>
      </c>
      <c r="G193" t="str">
        <f t="shared" si="23"/>
        <v>1</v>
      </c>
      <c r="H193" t="str">
        <f t="shared" si="24"/>
        <v>9</v>
      </c>
      <c r="I193" t="str">
        <f t="shared" si="25"/>
        <v>3</v>
      </c>
      <c r="K193" t="str">
        <f t="shared" si="28"/>
        <v>1</v>
      </c>
      <c r="L193" t="str">
        <f t="shared" si="29"/>
        <v>9</v>
      </c>
      <c r="M193" t="str">
        <f t="shared" si="30"/>
        <v>3</v>
      </c>
      <c r="O193" s="69">
        <f t="shared" si="31"/>
        <v>13</v>
      </c>
      <c r="P193">
        <f t="shared" si="26"/>
        <v>78</v>
      </c>
      <c r="Q193" t="str">
        <f t="shared" si="27"/>
        <v xml:space="preserve"> </v>
      </c>
    </row>
    <row r="194" spans="1:17" x14ac:dyDescent="0.25">
      <c r="A194">
        <v>0</v>
      </c>
      <c r="E194">
        <v>194</v>
      </c>
      <c r="G194" t="str">
        <f t="shared" ref="G194:G257" si="32">+MID(E194,1,1)</f>
        <v>1</v>
      </c>
      <c r="H194" t="str">
        <f t="shared" ref="H194:H257" si="33">+MID(E194,2,1)</f>
        <v>9</v>
      </c>
      <c r="I194" t="str">
        <f t="shared" ref="I194:I257" si="34">+MID(E194,3,1)</f>
        <v>4</v>
      </c>
      <c r="K194" t="str">
        <f t="shared" si="28"/>
        <v>1</v>
      </c>
      <c r="L194" t="str">
        <f t="shared" si="29"/>
        <v>9</v>
      </c>
      <c r="M194" t="str">
        <f t="shared" si="30"/>
        <v>4</v>
      </c>
      <c r="O194" s="69">
        <f t="shared" si="31"/>
        <v>14</v>
      </c>
      <c r="P194">
        <f t="shared" ref="P194:P257" si="35">+O194*6</f>
        <v>84</v>
      </c>
      <c r="Q194" t="str">
        <f t="shared" ref="Q194:Q257" si="36">+IF(P194=E194,"OK"," ")</f>
        <v xml:space="preserve"> </v>
      </c>
    </row>
    <row r="195" spans="1:17" x14ac:dyDescent="0.25">
      <c r="A195">
        <v>0</v>
      </c>
      <c r="E195">
        <v>195</v>
      </c>
      <c r="G195" t="str">
        <f t="shared" si="32"/>
        <v>1</v>
      </c>
      <c r="H195" t="str">
        <f t="shared" si="33"/>
        <v>9</v>
      </c>
      <c r="I195" t="str">
        <f t="shared" si="34"/>
        <v>5</v>
      </c>
      <c r="K195" t="str">
        <f t="shared" si="28"/>
        <v>1</v>
      </c>
      <c r="L195" t="str">
        <f t="shared" si="29"/>
        <v>9</v>
      </c>
      <c r="M195" t="str">
        <f t="shared" si="30"/>
        <v>5</v>
      </c>
      <c r="O195" s="69">
        <f t="shared" si="31"/>
        <v>15</v>
      </c>
      <c r="P195">
        <f t="shared" si="35"/>
        <v>90</v>
      </c>
      <c r="Q195" t="str">
        <f t="shared" si="36"/>
        <v xml:space="preserve"> </v>
      </c>
    </row>
    <row r="196" spans="1:17" x14ac:dyDescent="0.25">
      <c r="A196">
        <v>0</v>
      </c>
      <c r="E196">
        <v>196</v>
      </c>
      <c r="G196" t="str">
        <f t="shared" si="32"/>
        <v>1</v>
      </c>
      <c r="H196" t="str">
        <f t="shared" si="33"/>
        <v>9</v>
      </c>
      <c r="I196" t="str">
        <f t="shared" si="34"/>
        <v>6</v>
      </c>
      <c r="K196" t="str">
        <f t="shared" si="28"/>
        <v>1</v>
      </c>
      <c r="L196" t="str">
        <f t="shared" si="29"/>
        <v>9</v>
      </c>
      <c r="M196" t="str">
        <f t="shared" si="30"/>
        <v>6</v>
      </c>
      <c r="O196" s="69">
        <f t="shared" si="31"/>
        <v>16</v>
      </c>
      <c r="P196">
        <f t="shared" si="35"/>
        <v>96</v>
      </c>
      <c r="Q196" t="str">
        <f t="shared" si="36"/>
        <v xml:space="preserve"> </v>
      </c>
    </row>
    <row r="197" spans="1:17" x14ac:dyDescent="0.25">
      <c r="A197">
        <v>0</v>
      </c>
      <c r="E197">
        <v>197</v>
      </c>
      <c r="G197" t="str">
        <f t="shared" si="32"/>
        <v>1</v>
      </c>
      <c r="H197" t="str">
        <f t="shared" si="33"/>
        <v>9</v>
      </c>
      <c r="I197" t="str">
        <f t="shared" si="34"/>
        <v>7</v>
      </c>
      <c r="K197" t="str">
        <f t="shared" si="28"/>
        <v>1</v>
      </c>
      <c r="L197" t="str">
        <f t="shared" si="29"/>
        <v>9</v>
      </c>
      <c r="M197" t="str">
        <f t="shared" si="30"/>
        <v>7</v>
      </c>
      <c r="O197" s="69">
        <f t="shared" si="31"/>
        <v>17</v>
      </c>
      <c r="P197">
        <f t="shared" si="35"/>
        <v>102</v>
      </c>
      <c r="Q197" t="str">
        <f t="shared" si="36"/>
        <v xml:space="preserve"> </v>
      </c>
    </row>
    <row r="198" spans="1:17" x14ac:dyDescent="0.25">
      <c r="A198">
        <v>0</v>
      </c>
      <c r="E198">
        <v>198</v>
      </c>
      <c r="G198" t="str">
        <f t="shared" si="32"/>
        <v>1</v>
      </c>
      <c r="H198" t="str">
        <f t="shared" si="33"/>
        <v>9</v>
      </c>
      <c r="I198" t="str">
        <f t="shared" si="34"/>
        <v>8</v>
      </c>
      <c r="K198" t="str">
        <f t="shared" si="28"/>
        <v>1</v>
      </c>
      <c r="L198" t="str">
        <f t="shared" si="29"/>
        <v>9</v>
      </c>
      <c r="M198" t="str">
        <f t="shared" si="30"/>
        <v>8</v>
      </c>
      <c r="O198" s="69">
        <f t="shared" si="31"/>
        <v>18</v>
      </c>
      <c r="P198">
        <f t="shared" si="35"/>
        <v>108</v>
      </c>
      <c r="Q198" t="str">
        <f t="shared" si="36"/>
        <v xml:space="preserve"> </v>
      </c>
    </row>
    <row r="199" spans="1:17" x14ac:dyDescent="0.25">
      <c r="A199">
        <v>0</v>
      </c>
      <c r="E199">
        <v>199</v>
      </c>
      <c r="G199" t="str">
        <f t="shared" si="32"/>
        <v>1</v>
      </c>
      <c r="H199" t="str">
        <f t="shared" si="33"/>
        <v>9</v>
      </c>
      <c r="I199" t="str">
        <f t="shared" si="34"/>
        <v>9</v>
      </c>
      <c r="K199" t="str">
        <f t="shared" si="28"/>
        <v>1</v>
      </c>
      <c r="L199" t="str">
        <f t="shared" si="29"/>
        <v>9</v>
      </c>
      <c r="M199" t="str">
        <f t="shared" si="30"/>
        <v>9</v>
      </c>
      <c r="O199" s="69">
        <f t="shared" si="31"/>
        <v>19</v>
      </c>
      <c r="P199">
        <f t="shared" si="35"/>
        <v>114</v>
      </c>
      <c r="Q199" t="str">
        <f t="shared" si="36"/>
        <v xml:space="preserve"> </v>
      </c>
    </row>
    <row r="200" spans="1:17" x14ac:dyDescent="0.25">
      <c r="A200">
        <v>0</v>
      </c>
      <c r="E200">
        <v>200</v>
      </c>
      <c r="G200" t="str">
        <f t="shared" si="32"/>
        <v>2</v>
      </c>
      <c r="H200" t="str">
        <f t="shared" si="33"/>
        <v>0</v>
      </c>
      <c r="I200" t="str">
        <f t="shared" si="34"/>
        <v>0</v>
      </c>
      <c r="K200" t="str">
        <f t="shared" si="28"/>
        <v>2</v>
      </c>
      <c r="L200" t="str">
        <f t="shared" si="29"/>
        <v>0</v>
      </c>
      <c r="M200" t="str">
        <f t="shared" si="30"/>
        <v>0</v>
      </c>
      <c r="O200" s="69">
        <f t="shared" si="31"/>
        <v>2</v>
      </c>
      <c r="P200">
        <f t="shared" si="35"/>
        <v>12</v>
      </c>
      <c r="Q200" t="str">
        <f t="shared" si="36"/>
        <v xml:space="preserve"> </v>
      </c>
    </row>
    <row r="201" spans="1:17" x14ac:dyDescent="0.25">
      <c r="A201">
        <v>0</v>
      </c>
      <c r="E201">
        <v>201</v>
      </c>
      <c r="G201" t="str">
        <f t="shared" si="32"/>
        <v>2</v>
      </c>
      <c r="H201" t="str">
        <f t="shared" si="33"/>
        <v>0</v>
      </c>
      <c r="I201" t="str">
        <f t="shared" si="34"/>
        <v>1</v>
      </c>
      <c r="K201" t="str">
        <f t="shared" si="28"/>
        <v>2</v>
      </c>
      <c r="L201" t="str">
        <f t="shared" si="29"/>
        <v>0</v>
      </c>
      <c r="M201" t="str">
        <f t="shared" si="30"/>
        <v>1</v>
      </c>
      <c r="O201" s="69">
        <f t="shared" si="31"/>
        <v>3</v>
      </c>
      <c r="P201">
        <f t="shared" si="35"/>
        <v>18</v>
      </c>
      <c r="Q201" t="str">
        <f t="shared" si="36"/>
        <v xml:space="preserve"> </v>
      </c>
    </row>
    <row r="202" spans="1:17" x14ac:dyDescent="0.25">
      <c r="A202">
        <v>0</v>
      </c>
      <c r="E202">
        <v>202</v>
      </c>
      <c r="G202" t="str">
        <f t="shared" si="32"/>
        <v>2</v>
      </c>
      <c r="H202" t="str">
        <f t="shared" si="33"/>
        <v>0</v>
      </c>
      <c r="I202" t="str">
        <f t="shared" si="34"/>
        <v>2</v>
      </c>
      <c r="K202" t="str">
        <f t="shared" si="28"/>
        <v>2</v>
      </c>
      <c r="L202" t="str">
        <f t="shared" si="29"/>
        <v>0</v>
      </c>
      <c r="M202" t="str">
        <f t="shared" si="30"/>
        <v>2</v>
      </c>
      <c r="O202" s="69">
        <f t="shared" si="31"/>
        <v>4</v>
      </c>
      <c r="P202">
        <f t="shared" si="35"/>
        <v>24</v>
      </c>
      <c r="Q202" t="str">
        <f t="shared" si="36"/>
        <v xml:space="preserve"> </v>
      </c>
    </row>
    <row r="203" spans="1:17" x14ac:dyDescent="0.25">
      <c r="A203">
        <v>0</v>
      </c>
      <c r="E203">
        <v>203</v>
      </c>
      <c r="G203" t="str">
        <f t="shared" si="32"/>
        <v>2</v>
      </c>
      <c r="H203" t="str">
        <f t="shared" si="33"/>
        <v>0</v>
      </c>
      <c r="I203" t="str">
        <f t="shared" si="34"/>
        <v>3</v>
      </c>
      <c r="K203" t="str">
        <f t="shared" si="28"/>
        <v>2</v>
      </c>
      <c r="L203" t="str">
        <f t="shared" si="29"/>
        <v>0</v>
      </c>
      <c r="M203" t="str">
        <f t="shared" si="30"/>
        <v>3</v>
      </c>
      <c r="O203" s="69">
        <f t="shared" si="31"/>
        <v>5</v>
      </c>
      <c r="P203">
        <f t="shared" si="35"/>
        <v>30</v>
      </c>
      <c r="Q203" t="str">
        <f t="shared" si="36"/>
        <v xml:space="preserve"> </v>
      </c>
    </row>
    <row r="204" spans="1:17" x14ac:dyDescent="0.25">
      <c r="A204">
        <v>0</v>
      </c>
      <c r="E204">
        <v>204</v>
      </c>
      <c r="G204" t="str">
        <f t="shared" si="32"/>
        <v>2</v>
      </c>
      <c r="H204" t="str">
        <f t="shared" si="33"/>
        <v>0</v>
      </c>
      <c r="I204" t="str">
        <f t="shared" si="34"/>
        <v>4</v>
      </c>
      <c r="K204" t="str">
        <f t="shared" si="28"/>
        <v>2</v>
      </c>
      <c r="L204" t="str">
        <f t="shared" si="29"/>
        <v>0</v>
      </c>
      <c r="M204" t="str">
        <f t="shared" si="30"/>
        <v>4</v>
      </c>
      <c r="O204" s="69">
        <f t="shared" si="31"/>
        <v>6</v>
      </c>
      <c r="P204">
        <f t="shared" si="35"/>
        <v>36</v>
      </c>
      <c r="Q204" t="str">
        <f t="shared" si="36"/>
        <v xml:space="preserve"> </v>
      </c>
    </row>
    <row r="205" spans="1:17" x14ac:dyDescent="0.25">
      <c r="A205">
        <v>0</v>
      </c>
      <c r="E205">
        <v>205</v>
      </c>
      <c r="G205" t="str">
        <f t="shared" si="32"/>
        <v>2</v>
      </c>
      <c r="H205" t="str">
        <f t="shared" si="33"/>
        <v>0</v>
      </c>
      <c r="I205" t="str">
        <f t="shared" si="34"/>
        <v>5</v>
      </c>
      <c r="K205" t="str">
        <f t="shared" si="28"/>
        <v>2</v>
      </c>
      <c r="L205" t="str">
        <f t="shared" si="29"/>
        <v>0</v>
      </c>
      <c r="M205" t="str">
        <f t="shared" si="30"/>
        <v>5</v>
      </c>
      <c r="O205" s="69">
        <f t="shared" si="31"/>
        <v>7</v>
      </c>
      <c r="P205">
        <f t="shared" si="35"/>
        <v>42</v>
      </c>
      <c r="Q205" t="str">
        <f t="shared" si="36"/>
        <v xml:space="preserve"> </v>
      </c>
    </row>
    <row r="206" spans="1:17" x14ac:dyDescent="0.25">
      <c r="A206">
        <v>0</v>
      </c>
      <c r="E206">
        <v>206</v>
      </c>
      <c r="G206" t="str">
        <f t="shared" si="32"/>
        <v>2</v>
      </c>
      <c r="H206" t="str">
        <f t="shared" si="33"/>
        <v>0</v>
      </c>
      <c r="I206" t="str">
        <f t="shared" si="34"/>
        <v>6</v>
      </c>
      <c r="K206" t="str">
        <f t="shared" si="28"/>
        <v>2</v>
      </c>
      <c r="L206" t="str">
        <f t="shared" si="29"/>
        <v>0</v>
      </c>
      <c r="M206" t="str">
        <f t="shared" si="30"/>
        <v>6</v>
      </c>
      <c r="O206" s="69">
        <f t="shared" si="31"/>
        <v>8</v>
      </c>
      <c r="P206">
        <f t="shared" si="35"/>
        <v>48</v>
      </c>
      <c r="Q206" t="str">
        <f t="shared" si="36"/>
        <v xml:space="preserve"> </v>
      </c>
    </row>
    <row r="207" spans="1:17" x14ac:dyDescent="0.25">
      <c r="A207">
        <v>0</v>
      </c>
      <c r="E207">
        <v>207</v>
      </c>
      <c r="G207" t="str">
        <f t="shared" si="32"/>
        <v>2</v>
      </c>
      <c r="H207" t="str">
        <f t="shared" si="33"/>
        <v>0</v>
      </c>
      <c r="I207" t="str">
        <f t="shared" si="34"/>
        <v>7</v>
      </c>
      <c r="K207" t="str">
        <f t="shared" si="28"/>
        <v>2</v>
      </c>
      <c r="L207" t="str">
        <f t="shared" si="29"/>
        <v>0</v>
      </c>
      <c r="M207" t="str">
        <f t="shared" si="30"/>
        <v>7</v>
      </c>
      <c r="O207" s="69">
        <f t="shared" si="31"/>
        <v>9</v>
      </c>
      <c r="P207">
        <f t="shared" si="35"/>
        <v>54</v>
      </c>
      <c r="Q207" t="str">
        <f t="shared" si="36"/>
        <v xml:space="preserve"> </v>
      </c>
    </row>
    <row r="208" spans="1:17" x14ac:dyDescent="0.25">
      <c r="A208">
        <v>0</v>
      </c>
      <c r="E208">
        <v>208</v>
      </c>
      <c r="G208" t="str">
        <f t="shared" si="32"/>
        <v>2</v>
      </c>
      <c r="H208" t="str">
        <f t="shared" si="33"/>
        <v>0</v>
      </c>
      <c r="I208" t="str">
        <f t="shared" si="34"/>
        <v>8</v>
      </c>
      <c r="K208" t="str">
        <f t="shared" si="28"/>
        <v>2</v>
      </c>
      <c r="L208" t="str">
        <f t="shared" si="29"/>
        <v>0</v>
      </c>
      <c r="M208" t="str">
        <f t="shared" si="30"/>
        <v>8</v>
      </c>
      <c r="O208" s="69">
        <f t="shared" si="31"/>
        <v>10</v>
      </c>
      <c r="P208">
        <f t="shared" si="35"/>
        <v>60</v>
      </c>
      <c r="Q208" t="str">
        <f t="shared" si="36"/>
        <v xml:space="preserve"> </v>
      </c>
    </row>
    <row r="209" spans="1:17" x14ac:dyDescent="0.25">
      <c r="A209">
        <v>0</v>
      </c>
      <c r="E209">
        <v>209</v>
      </c>
      <c r="G209" t="str">
        <f t="shared" si="32"/>
        <v>2</v>
      </c>
      <c r="H209" t="str">
        <f t="shared" si="33"/>
        <v>0</v>
      </c>
      <c r="I209" t="str">
        <f t="shared" si="34"/>
        <v>9</v>
      </c>
      <c r="K209" t="str">
        <f t="shared" si="28"/>
        <v>2</v>
      </c>
      <c r="L209" t="str">
        <f t="shared" si="29"/>
        <v>0</v>
      </c>
      <c r="M209" t="str">
        <f t="shared" si="30"/>
        <v>9</v>
      </c>
      <c r="O209" s="69">
        <f t="shared" si="31"/>
        <v>11</v>
      </c>
      <c r="P209">
        <f t="shared" si="35"/>
        <v>66</v>
      </c>
      <c r="Q209" t="str">
        <f t="shared" si="36"/>
        <v xml:space="preserve"> </v>
      </c>
    </row>
    <row r="210" spans="1:17" x14ac:dyDescent="0.25">
      <c r="A210">
        <v>0</v>
      </c>
      <c r="E210">
        <v>210</v>
      </c>
      <c r="G210" t="str">
        <f t="shared" si="32"/>
        <v>2</v>
      </c>
      <c r="H210" t="str">
        <f t="shared" si="33"/>
        <v>1</v>
      </c>
      <c r="I210" t="str">
        <f t="shared" si="34"/>
        <v>0</v>
      </c>
      <c r="K210" t="str">
        <f t="shared" ref="K210:K273" si="37">+G210</f>
        <v>2</v>
      </c>
      <c r="L210" t="str">
        <f t="shared" ref="L210:L273" si="38">+H210</f>
        <v>1</v>
      </c>
      <c r="M210" t="str">
        <f t="shared" ref="M210:M273" si="39">+I210</f>
        <v>0</v>
      </c>
      <c r="O210" s="69">
        <f t="shared" si="31"/>
        <v>3</v>
      </c>
      <c r="P210">
        <f t="shared" si="35"/>
        <v>18</v>
      </c>
      <c r="Q210" t="str">
        <f t="shared" si="36"/>
        <v xml:space="preserve"> </v>
      </c>
    </row>
    <row r="211" spans="1:17" x14ac:dyDescent="0.25">
      <c r="A211">
        <v>0</v>
      </c>
      <c r="E211">
        <v>211</v>
      </c>
      <c r="G211" t="str">
        <f t="shared" si="32"/>
        <v>2</v>
      </c>
      <c r="H211" t="str">
        <f t="shared" si="33"/>
        <v>1</v>
      </c>
      <c r="I211" t="str">
        <f t="shared" si="34"/>
        <v>1</v>
      </c>
      <c r="K211" t="str">
        <f t="shared" si="37"/>
        <v>2</v>
      </c>
      <c r="L211" t="str">
        <f t="shared" si="38"/>
        <v>1</v>
      </c>
      <c r="M211" t="str">
        <f t="shared" si="39"/>
        <v>1</v>
      </c>
      <c r="O211" s="69">
        <f t="shared" si="31"/>
        <v>4</v>
      </c>
      <c r="P211">
        <f t="shared" si="35"/>
        <v>24</v>
      </c>
      <c r="Q211" t="str">
        <f t="shared" si="36"/>
        <v xml:space="preserve"> </v>
      </c>
    </row>
    <row r="212" spans="1:17" x14ac:dyDescent="0.25">
      <c r="A212">
        <v>0</v>
      </c>
      <c r="E212">
        <v>212</v>
      </c>
      <c r="G212" t="str">
        <f t="shared" si="32"/>
        <v>2</v>
      </c>
      <c r="H212" t="str">
        <f t="shared" si="33"/>
        <v>1</v>
      </c>
      <c r="I212" t="str">
        <f t="shared" si="34"/>
        <v>2</v>
      </c>
      <c r="K212" t="str">
        <f t="shared" si="37"/>
        <v>2</v>
      </c>
      <c r="L212" t="str">
        <f t="shared" si="38"/>
        <v>1</v>
      </c>
      <c r="M212" t="str">
        <f t="shared" si="39"/>
        <v>2</v>
      </c>
      <c r="O212" s="69">
        <f t="shared" si="31"/>
        <v>5</v>
      </c>
      <c r="P212">
        <f t="shared" si="35"/>
        <v>30</v>
      </c>
      <c r="Q212" t="str">
        <f t="shared" si="36"/>
        <v xml:space="preserve"> </v>
      </c>
    </row>
    <row r="213" spans="1:17" x14ac:dyDescent="0.25">
      <c r="A213">
        <v>0</v>
      </c>
      <c r="E213">
        <v>213</v>
      </c>
      <c r="G213" t="str">
        <f t="shared" si="32"/>
        <v>2</v>
      </c>
      <c r="H213" t="str">
        <f t="shared" si="33"/>
        <v>1</v>
      </c>
      <c r="I213" t="str">
        <f t="shared" si="34"/>
        <v>3</v>
      </c>
      <c r="K213" t="str">
        <f t="shared" si="37"/>
        <v>2</v>
      </c>
      <c r="L213" t="str">
        <f t="shared" si="38"/>
        <v>1</v>
      </c>
      <c r="M213" t="str">
        <f t="shared" si="39"/>
        <v>3</v>
      </c>
      <c r="O213" s="69">
        <f t="shared" si="31"/>
        <v>6</v>
      </c>
      <c r="P213">
        <f t="shared" si="35"/>
        <v>36</v>
      </c>
      <c r="Q213" t="str">
        <f t="shared" si="36"/>
        <v xml:space="preserve"> </v>
      </c>
    </row>
    <row r="214" spans="1:17" x14ac:dyDescent="0.25">
      <c r="A214">
        <v>0</v>
      </c>
      <c r="E214">
        <v>214</v>
      </c>
      <c r="G214" t="str">
        <f t="shared" si="32"/>
        <v>2</v>
      </c>
      <c r="H214" t="str">
        <f t="shared" si="33"/>
        <v>1</v>
      </c>
      <c r="I214" t="str">
        <f t="shared" si="34"/>
        <v>4</v>
      </c>
      <c r="K214" t="str">
        <f t="shared" si="37"/>
        <v>2</v>
      </c>
      <c r="L214" t="str">
        <f t="shared" si="38"/>
        <v>1</v>
      </c>
      <c r="M214" t="str">
        <f t="shared" si="39"/>
        <v>4</v>
      </c>
      <c r="O214" s="69">
        <f t="shared" si="31"/>
        <v>7</v>
      </c>
      <c r="P214">
        <f t="shared" si="35"/>
        <v>42</v>
      </c>
      <c r="Q214" t="str">
        <f t="shared" si="36"/>
        <v xml:space="preserve"> </v>
      </c>
    </row>
    <row r="215" spans="1:17" x14ac:dyDescent="0.25">
      <c r="A215">
        <v>0</v>
      </c>
      <c r="E215">
        <v>215</v>
      </c>
      <c r="G215" t="str">
        <f t="shared" si="32"/>
        <v>2</v>
      </c>
      <c r="H215" t="str">
        <f t="shared" si="33"/>
        <v>1</v>
      </c>
      <c r="I215" t="str">
        <f t="shared" si="34"/>
        <v>5</v>
      </c>
      <c r="K215" t="str">
        <f t="shared" si="37"/>
        <v>2</v>
      </c>
      <c r="L215" t="str">
        <f t="shared" si="38"/>
        <v>1</v>
      </c>
      <c r="M215" t="str">
        <f t="shared" si="39"/>
        <v>5</v>
      </c>
      <c r="O215" s="69">
        <f t="shared" si="31"/>
        <v>8</v>
      </c>
      <c r="P215">
        <f t="shared" si="35"/>
        <v>48</v>
      </c>
      <c r="Q215" t="str">
        <f t="shared" si="36"/>
        <v xml:space="preserve"> </v>
      </c>
    </row>
    <row r="216" spans="1:17" x14ac:dyDescent="0.25">
      <c r="A216">
        <v>0</v>
      </c>
      <c r="E216">
        <v>216</v>
      </c>
      <c r="G216" t="str">
        <f t="shared" si="32"/>
        <v>2</v>
      </c>
      <c r="H216" t="str">
        <f t="shared" si="33"/>
        <v>1</v>
      </c>
      <c r="I216" t="str">
        <f t="shared" si="34"/>
        <v>6</v>
      </c>
      <c r="K216" t="str">
        <f t="shared" si="37"/>
        <v>2</v>
      </c>
      <c r="L216" t="str">
        <f t="shared" si="38"/>
        <v>1</v>
      </c>
      <c r="M216" t="str">
        <f t="shared" si="39"/>
        <v>6</v>
      </c>
      <c r="O216" s="69">
        <f t="shared" si="31"/>
        <v>9</v>
      </c>
      <c r="P216">
        <f t="shared" si="35"/>
        <v>54</v>
      </c>
      <c r="Q216" t="str">
        <f t="shared" si="36"/>
        <v xml:space="preserve"> </v>
      </c>
    </row>
    <row r="217" spans="1:17" x14ac:dyDescent="0.25">
      <c r="A217">
        <v>0</v>
      </c>
      <c r="E217">
        <v>217</v>
      </c>
      <c r="G217" t="str">
        <f t="shared" si="32"/>
        <v>2</v>
      </c>
      <c r="H217" t="str">
        <f t="shared" si="33"/>
        <v>1</v>
      </c>
      <c r="I217" t="str">
        <f t="shared" si="34"/>
        <v>7</v>
      </c>
      <c r="K217" t="str">
        <f t="shared" si="37"/>
        <v>2</v>
      </c>
      <c r="L217" t="str">
        <f t="shared" si="38"/>
        <v>1</v>
      </c>
      <c r="M217" t="str">
        <f t="shared" si="39"/>
        <v>7</v>
      </c>
      <c r="O217" s="69">
        <f t="shared" si="31"/>
        <v>10</v>
      </c>
      <c r="P217">
        <f t="shared" si="35"/>
        <v>60</v>
      </c>
      <c r="Q217" t="str">
        <f t="shared" si="36"/>
        <v xml:space="preserve"> </v>
      </c>
    </row>
    <row r="218" spans="1:17" x14ac:dyDescent="0.25">
      <c r="A218">
        <v>0</v>
      </c>
      <c r="E218">
        <v>218</v>
      </c>
      <c r="G218" t="str">
        <f t="shared" si="32"/>
        <v>2</v>
      </c>
      <c r="H218" t="str">
        <f t="shared" si="33"/>
        <v>1</v>
      </c>
      <c r="I218" t="str">
        <f t="shared" si="34"/>
        <v>8</v>
      </c>
      <c r="K218" t="str">
        <f t="shared" si="37"/>
        <v>2</v>
      </c>
      <c r="L218" t="str">
        <f t="shared" si="38"/>
        <v>1</v>
      </c>
      <c r="M218" t="str">
        <f t="shared" si="39"/>
        <v>8</v>
      </c>
      <c r="O218" s="69">
        <f t="shared" si="31"/>
        <v>11</v>
      </c>
      <c r="P218">
        <f t="shared" si="35"/>
        <v>66</v>
      </c>
      <c r="Q218" t="str">
        <f t="shared" si="36"/>
        <v xml:space="preserve"> </v>
      </c>
    </row>
    <row r="219" spans="1:17" x14ac:dyDescent="0.25">
      <c r="A219">
        <v>0</v>
      </c>
      <c r="E219">
        <v>219</v>
      </c>
      <c r="G219" t="str">
        <f t="shared" si="32"/>
        <v>2</v>
      </c>
      <c r="H219" t="str">
        <f t="shared" si="33"/>
        <v>1</v>
      </c>
      <c r="I219" t="str">
        <f t="shared" si="34"/>
        <v>9</v>
      </c>
      <c r="K219" t="str">
        <f t="shared" si="37"/>
        <v>2</v>
      </c>
      <c r="L219" t="str">
        <f t="shared" si="38"/>
        <v>1</v>
      </c>
      <c r="M219" t="str">
        <f t="shared" si="39"/>
        <v>9</v>
      </c>
      <c r="O219" s="69">
        <f t="shared" si="31"/>
        <v>12</v>
      </c>
      <c r="P219">
        <f t="shared" si="35"/>
        <v>72</v>
      </c>
      <c r="Q219" t="str">
        <f t="shared" si="36"/>
        <v xml:space="preserve"> </v>
      </c>
    </row>
    <row r="220" spans="1:17" x14ac:dyDescent="0.25">
      <c r="A220">
        <v>0</v>
      </c>
      <c r="E220">
        <v>220</v>
      </c>
      <c r="G220" t="str">
        <f t="shared" si="32"/>
        <v>2</v>
      </c>
      <c r="H220" t="str">
        <f t="shared" si="33"/>
        <v>2</v>
      </c>
      <c r="I220" t="str">
        <f t="shared" si="34"/>
        <v>0</v>
      </c>
      <c r="K220" t="str">
        <f t="shared" si="37"/>
        <v>2</v>
      </c>
      <c r="L220" t="str">
        <f t="shared" si="38"/>
        <v>2</v>
      </c>
      <c r="M220" t="str">
        <f t="shared" si="39"/>
        <v>0</v>
      </c>
      <c r="O220" s="69">
        <f t="shared" si="31"/>
        <v>4</v>
      </c>
      <c r="P220">
        <f t="shared" si="35"/>
        <v>24</v>
      </c>
      <c r="Q220" t="str">
        <f t="shared" si="36"/>
        <v xml:space="preserve"> </v>
      </c>
    </row>
    <row r="221" spans="1:17" x14ac:dyDescent="0.25">
      <c r="A221">
        <v>0</v>
      </c>
      <c r="E221">
        <v>221</v>
      </c>
      <c r="G221" t="str">
        <f t="shared" si="32"/>
        <v>2</v>
      </c>
      <c r="H221" t="str">
        <f t="shared" si="33"/>
        <v>2</v>
      </c>
      <c r="I221" t="str">
        <f t="shared" si="34"/>
        <v>1</v>
      </c>
      <c r="K221" t="str">
        <f t="shared" si="37"/>
        <v>2</v>
      </c>
      <c r="L221" t="str">
        <f t="shared" si="38"/>
        <v>2</v>
      </c>
      <c r="M221" t="str">
        <f t="shared" si="39"/>
        <v>1</v>
      </c>
      <c r="O221" s="69">
        <f t="shared" si="31"/>
        <v>5</v>
      </c>
      <c r="P221">
        <f t="shared" si="35"/>
        <v>30</v>
      </c>
      <c r="Q221" t="str">
        <f t="shared" si="36"/>
        <v xml:space="preserve"> </v>
      </c>
    </row>
    <row r="222" spans="1:17" x14ac:dyDescent="0.25">
      <c r="A222">
        <v>0</v>
      </c>
      <c r="E222">
        <v>222</v>
      </c>
      <c r="G222" t="str">
        <f t="shared" si="32"/>
        <v>2</v>
      </c>
      <c r="H222" t="str">
        <f t="shared" si="33"/>
        <v>2</v>
      </c>
      <c r="I222" t="str">
        <f t="shared" si="34"/>
        <v>2</v>
      </c>
      <c r="K222" t="str">
        <f t="shared" si="37"/>
        <v>2</v>
      </c>
      <c r="L222" t="str">
        <f t="shared" si="38"/>
        <v>2</v>
      </c>
      <c r="M222" t="str">
        <f t="shared" si="39"/>
        <v>2</v>
      </c>
      <c r="O222" s="69">
        <f t="shared" si="31"/>
        <v>6</v>
      </c>
      <c r="P222">
        <f t="shared" si="35"/>
        <v>36</v>
      </c>
      <c r="Q222" t="str">
        <f t="shared" si="36"/>
        <v xml:space="preserve"> </v>
      </c>
    </row>
    <row r="223" spans="1:17" x14ac:dyDescent="0.25">
      <c r="A223">
        <v>0</v>
      </c>
      <c r="E223">
        <v>223</v>
      </c>
      <c r="G223" t="str">
        <f t="shared" si="32"/>
        <v>2</v>
      </c>
      <c r="H223" t="str">
        <f t="shared" si="33"/>
        <v>2</v>
      </c>
      <c r="I223" t="str">
        <f t="shared" si="34"/>
        <v>3</v>
      </c>
      <c r="K223" t="str">
        <f t="shared" si="37"/>
        <v>2</v>
      </c>
      <c r="L223" t="str">
        <f t="shared" si="38"/>
        <v>2</v>
      </c>
      <c r="M223" t="str">
        <f t="shared" si="39"/>
        <v>3</v>
      </c>
      <c r="O223" s="69">
        <f t="shared" si="31"/>
        <v>7</v>
      </c>
      <c r="P223">
        <f t="shared" si="35"/>
        <v>42</v>
      </c>
      <c r="Q223" t="str">
        <f t="shared" si="36"/>
        <v xml:space="preserve"> </v>
      </c>
    </row>
    <row r="224" spans="1:17" x14ac:dyDescent="0.25">
      <c r="A224">
        <v>0</v>
      </c>
      <c r="E224">
        <v>224</v>
      </c>
      <c r="G224" t="str">
        <f t="shared" si="32"/>
        <v>2</v>
      </c>
      <c r="H224" t="str">
        <f t="shared" si="33"/>
        <v>2</v>
      </c>
      <c r="I224" t="str">
        <f t="shared" si="34"/>
        <v>4</v>
      </c>
      <c r="K224" t="str">
        <f t="shared" si="37"/>
        <v>2</v>
      </c>
      <c r="L224" t="str">
        <f t="shared" si="38"/>
        <v>2</v>
      </c>
      <c r="M224" t="str">
        <f t="shared" si="39"/>
        <v>4</v>
      </c>
      <c r="O224" s="69">
        <f t="shared" si="31"/>
        <v>8</v>
      </c>
      <c r="P224">
        <f t="shared" si="35"/>
        <v>48</v>
      </c>
      <c r="Q224" t="str">
        <f t="shared" si="36"/>
        <v xml:space="preserve"> </v>
      </c>
    </row>
    <row r="225" spans="1:17" x14ac:dyDescent="0.25">
      <c r="A225">
        <v>0</v>
      </c>
      <c r="E225">
        <v>225</v>
      </c>
      <c r="G225" t="str">
        <f t="shared" si="32"/>
        <v>2</v>
      </c>
      <c r="H225" t="str">
        <f t="shared" si="33"/>
        <v>2</v>
      </c>
      <c r="I225" t="str">
        <f t="shared" si="34"/>
        <v>5</v>
      </c>
      <c r="K225" t="str">
        <f t="shared" si="37"/>
        <v>2</v>
      </c>
      <c r="L225" t="str">
        <f t="shared" si="38"/>
        <v>2</v>
      </c>
      <c r="M225" t="str">
        <f t="shared" si="39"/>
        <v>5</v>
      </c>
      <c r="O225" s="69">
        <f t="shared" si="31"/>
        <v>9</v>
      </c>
      <c r="P225">
        <f t="shared" si="35"/>
        <v>54</v>
      </c>
      <c r="Q225" t="str">
        <f t="shared" si="36"/>
        <v xml:space="preserve"> </v>
      </c>
    </row>
    <row r="226" spans="1:17" x14ac:dyDescent="0.25">
      <c r="A226">
        <v>0</v>
      </c>
      <c r="E226">
        <v>226</v>
      </c>
      <c r="G226" t="str">
        <f t="shared" si="32"/>
        <v>2</v>
      </c>
      <c r="H226" t="str">
        <f t="shared" si="33"/>
        <v>2</v>
      </c>
      <c r="I226" t="str">
        <f t="shared" si="34"/>
        <v>6</v>
      </c>
      <c r="K226" t="str">
        <f t="shared" si="37"/>
        <v>2</v>
      </c>
      <c r="L226" t="str">
        <f t="shared" si="38"/>
        <v>2</v>
      </c>
      <c r="M226" t="str">
        <f t="shared" si="39"/>
        <v>6</v>
      </c>
      <c r="O226" s="69">
        <f t="shared" si="31"/>
        <v>10</v>
      </c>
      <c r="P226">
        <f t="shared" si="35"/>
        <v>60</v>
      </c>
      <c r="Q226" t="str">
        <f t="shared" si="36"/>
        <v xml:space="preserve"> </v>
      </c>
    </row>
    <row r="227" spans="1:17" x14ac:dyDescent="0.25">
      <c r="A227">
        <v>0</v>
      </c>
      <c r="E227">
        <v>227</v>
      </c>
      <c r="G227" t="str">
        <f t="shared" si="32"/>
        <v>2</v>
      </c>
      <c r="H227" t="str">
        <f t="shared" si="33"/>
        <v>2</v>
      </c>
      <c r="I227" t="str">
        <f t="shared" si="34"/>
        <v>7</v>
      </c>
      <c r="K227" t="str">
        <f t="shared" si="37"/>
        <v>2</v>
      </c>
      <c r="L227" t="str">
        <f t="shared" si="38"/>
        <v>2</v>
      </c>
      <c r="M227" t="str">
        <f t="shared" si="39"/>
        <v>7</v>
      </c>
      <c r="O227" s="69">
        <f t="shared" si="31"/>
        <v>11</v>
      </c>
      <c r="P227">
        <f t="shared" si="35"/>
        <v>66</v>
      </c>
      <c r="Q227" t="str">
        <f t="shared" si="36"/>
        <v xml:space="preserve"> </v>
      </c>
    </row>
    <row r="228" spans="1:17" x14ac:dyDescent="0.25">
      <c r="A228">
        <v>0</v>
      </c>
      <c r="E228">
        <v>228</v>
      </c>
      <c r="G228" t="str">
        <f t="shared" si="32"/>
        <v>2</v>
      </c>
      <c r="H228" t="str">
        <f t="shared" si="33"/>
        <v>2</v>
      </c>
      <c r="I228" t="str">
        <f t="shared" si="34"/>
        <v>8</v>
      </c>
      <c r="K228" t="str">
        <f t="shared" si="37"/>
        <v>2</v>
      </c>
      <c r="L228" t="str">
        <f t="shared" si="38"/>
        <v>2</v>
      </c>
      <c r="M228" t="str">
        <f t="shared" si="39"/>
        <v>8</v>
      </c>
      <c r="O228" s="69">
        <f t="shared" si="31"/>
        <v>12</v>
      </c>
      <c r="P228">
        <f t="shared" si="35"/>
        <v>72</v>
      </c>
      <c r="Q228" t="str">
        <f t="shared" si="36"/>
        <v xml:space="preserve"> </v>
      </c>
    </row>
    <row r="229" spans="1:17" x14ac:dyDescent="0.25">
      <c r="A229">
        <v>0</v>
      </c>
      <c r="E229">
        <v>229</v>
      </c>
      <c r="G229" t="str">
        <f t="shared" si="32"/>
        <v>2</v>
      </c>
      <c r="H229" t="str">
        <f t="shared" si="33"/>
        <v>2</v>
      </c>
      <c r="I229" t="str">
        <f t="shared" si="34"/>
        <v>9</v>
      </c>
      <c r="K229" t="str">
        <f t="shared" si="37"/>
        <v>2</v>
      </c>
      <c r="L229" t="str">
        <f t="shared" si="38"/>
        <v>2</v>
      </c>
      <c r="M229" t="str">
        <f t="shared" si="39"/>
        <v>9</v>
      </c>
      <c r="O229" s="69">
        <f t="shared" ref="O229:O292" si="40">+K229+L229+M229</f>
        <v>13</v>
      </c>
      <c r="P229">
        <f t="shared" si="35"/>
        <v>78</v>
      </c>
      <c r="Q229" t="str">
        <f t="shared" si="36"/>
        <v xml:space="preserve"> </v>
      </c>
    </row>
    <row r="230" spans="1:17" x14ac:dyDescent="0.25">
      <c r="A230">
        <v>0</v>
      </c>
      <c r="E230">
        <v>230</v>
      </c>
      <c r="G230" t="str">
        <f t="shared" si="32"/>
        <v>2</v>
      </c>
      <c r="H230" t="str">
        <f t="shared" si="33"/>
        <v>3</v>
      </c>
      <c r="I230" t="str">
        <f t="shared" si="34"/>
        <v>0</v>
      </c>
      <c r="K230" t="str">
        <f t="shared" si="37"/>
        <v>2</v>
      </c>
      <c r="L230" t="str">
        <f t="shared" si="38"/>
        <v>3</v>
      </c>
      <c r="M230" t="str">
        <f t="shared" si="39"/>
        <v>0</v>
      </c>
      <c r="O230" s="69">
        <f t="shared" si="40"/>
        <v>5</v>
      </c>
      <c r="P230">
        <f t="shared" si="35"/>
        <v>30</v>
      </c>
      <c r="Q230" t="str">
        <f t="shared" si="36"/>
        <v xml:space="preserve"> </v>
      </c>
    </row>
    <row r="231" spans="1:17" x14ac:dyDescent="0.25">
      <c r="A231">
        <v>0</v>
      </c>
      <c r="E231">
        <v>231</v>
      </c>
      <c r="G231" t="str">
        <f t="shared" si="32"/>
        <v>2</v>
      </c>
      <c r="H231" t="str">
        <f t="shared" si="33"/>
        <v>3</v>
      </c>
      <c r="I231" t="str">
        <f t="shared" si="34"/>
        <v>1</v>
      </c>
      <c r="K231" t="str">
        <f t="shared" si="37"/>
        <v>2</v>
      </c>
      <c r="L231" t="str">
        <f t="shared" si="38"/>
        <v>3</v>
      </c>
      <c r="M231" t="str">
        <f t="shared" si="39"/>
        <v>1</v>
      </c>
      <c r="O231" s="69">
        <f t="shared" si="40"/>
        <v>6</v>
      </c>
      <c r="P231">
        <f t="shared" si="35"/>
        <v>36</v>
      </c>
      <c r="Q231" t="str">
        <f t="shared" si="36"/>
        <v xml:space="preserve"> </v>
      </c>
    </row>
    <row r="232" spans="1:17" x14ac:dyDescent="0.25">
      <c r="A232">
        <v>0</v>
      </c>
      <c r="E232">
        <v>232</v>
      </c>
      <c r="G232" t="str">
        <f t="shared" si="32"/>
        <v>2</v>
      </c>
      <c r="H232" t="str">
        <f t="shared" si="33"/>
        <v>3</v>
      </c>
      <c r="I232" t="str">
        <f t="shared" si="34"/>
        <v>2</v>
      </c>
      <c r="K232" t="str">
        <f t="shared" si="37"/>
        <v>2</v>
      </c>
      <c r="L232" t="str">
        <f t="shared" si="38"/>
        <v>3</v>
      </c>
      <c r="M232" t="str">
        <f t="shared" si="39"/>
        <v>2</v>
      </c>
      <c r="O232" s="69">
        <f t="shared" si="40"/>
        <v>7</v>
      </c>
      <c r="P232">
        <f t="shared" si="35"/>
        <v>42</v>
      </c>
      <c r="Q232" t="str">
        <f t="shared" si="36"/>
        <v xml:space="preserve"> </v>
      </c>
    </row>
    <row r="233" spans="1:17" x14ac:dyDescent="0.25">
      <c r="A233">
        <v>0</v>
      </c>
      <c r="E233">
        <v>233</v>
      </c>
      <c r="G233" t="str">
        <f t="shared" si="32"/>
        <v>2</v>
      </c>
      <c r="H233" t="str">
        <f t="shared" si="33"/>
        <v>3</v>
      </c>
      <c r="I233" t="str">
        <f t="shared" si="34"/>
        <v>3</v>
      </c>
      <c r="K233" t="str">
        <f t="shared" si="37"/>
        <v>2</v>
      </c>
      <c r="L233" t="str">
        <f t="shared" si="38"/>
        <v>3</v>
      </c>
      <c r="M233" t="str">
        <f t="shared" si="39"/>
        <v>3</v>
      </c>
      <c r="O233" s="69">
        <f t="shared" si="40"/>
        <v>8</v>
      </c>
      <c r="P233">
        <f t="shared" si="35"/>
        <v>48</v>
      </c>
      <c r="Q233" t="str">
        <f t="shared" si="36"/>
        <v xml:space="preserve"> </v>
      </c>
    </row>
    <row r="234" spans="1:17" x14ac:dyDescent="0.25">
      <c r="A234">
        <v>0</v>
      </c>
      <c r="E234">
        <v>234</v>
      </c>
      <c r="G234" t="str">
        <f t="shared" si="32"/>
        <v>2</v>
      </c>
      <c r="H234" t="str">
        <f t="shared" si="33"/>
        <v>3</v>
      </c>
      <c r="I234" t="str">
        <f t="shared" si="34"/>
        <v>4</v>
      </c>
      <c r="K234" t="str">
        <f t="shared" si="37"/>
        <v>2</v>
      </c>
      <c r="L234" t="str">
        <f t="shared" si="38"/>
        <v>3</v>
      </c>
      <c r="M234" t="str">
        <f t="shared" si="39"/>
        <v>4</v>
      </c>
      <c r="O234" s="69">
        <f t="shared" si="40"/>
        <v>9</v>
      </c>
      <c r="P234">
        <f t="shared" si="35"/>
        <v>54</v>
      </c>
      <c r="Q234" t="str">
        <f t="shared" si="36"/>
        <v xml:space="preserve"> </v>
      </c>
    </row>
    <row r="235" spans="1:17" x14ac:dyDescent="0.25">
      <c r="A235">
        <v>0</v>
      </c>
      <c r="E235">
        <v>235</v>
      </c>
      <c r="G235" t="str">
        <f t="shared" si="32"/>
        <v>2</v>
      </c>
      <c r="H235" t="str">
        <f t="shared" si="33"/>
        <v>3</v>
      </c>
      <c r="I235" t="str">
        <f t="shared" si="34"/>
        <v>5</v>
      </c>
      <c r="K235" t="str">
        <f t="shared" si="37"/>
        <v>2</v>
      </c>
      <c r="L235" t="str">
        <f t="shared" si="38"/>
        <v>3</v>
      </c>
      <c r="M235" t="str">
        <f t="shared" si="39"/>
        <v>5</v>
      </c>
      <c r="O235" s="69">
        <f t="shared" si="40"/>
        <v>10</v>
      </c>
      <c r="P235">
        <f t="shared" si="35"/>
        <v>60</v>
      </c>
      <c r="Q235" t="str">
        <f t="shared" si="36"/>
        <v xml:space="preserve"> </v>
      </c>
    </row>
    <row r="236" spans="1:17" x14ac:dyDescent="0.25">
      <c r="A236">
        <v>0</v>
      </c>
      <c r="E236">
        <v>236</v>
      </c>
      <c r="G236" t="str">
        <f t="shared" si="32"/>
        <v>2</v>
      </c>
      <c r="H236" t="str">
        <f t="shared" si="33"/>
        <v>3</v>
      </c>
      <c r="I236" t="str">
        <f t="shared" si="34"/>
        <v>6</v>
      </c>
      <c r="K236" t="str">
        <f t="shared" si="37"/>
        <v>2</v>
      </c>
      <c r="L236" t="str">
        <f t="shared" si="38"/>
        <v>3</v>
      </c>
      <c r="M236" t="str">
        <f t="shared" si="39"/>
        <v>6</v>
      </c>
      <c r="O236" s="69">
        <f t="shared" si="40"/>
        <v>11</v>
      </c>
      <c r="P236">
        <f t="shared" si="35"/>
        <v>66</v>
      </c>
      <c r="Q236" t="str">
        <f t="shared" si="36"/>
        <v xml:space="preserve"> </v>
      </c>
    </row>
    <row r="237" spans="1:17" x14ac:dyDescent="0.25">
      <c r="A237">
        <v>0</v>
      </c>
      <c r="E237">
        <v>237</v>
      </c>
      <c r="G237" t="str">
        <f t="shared" si="32"/>
        <v>2</v>
      </c>
      <c r="H237" t="str">
        <f t="shared" si="33"/>
        <v>3</v>
      </c>
      <c r="I237" t="str">
        <f t="shared" si="34"/>
        <v>7</v>
      </c>
      <c r="K237" t="str">
        <f t="shared" si="37"/>
        <v>2</v>
      </c>
      <c r="L237" t="str">
        <f t="shared" si="38"/>
        <v>3</v>
      </c>
      <c r="M237" t="str">
        <f t="shared" si="39"/>
        <v>7</v>
      </c>
      <c r="O237" s="69">
        <f t="shared" si="40"/>
        <v>12</v>
      </c>
      <c r="P237">
        <f t="shared" si="35"/>
        <v>72</v>
      </c>
      <c r="Q237" t="str">
        <f t="shared" si="36"/>
        <v xml:space="preserve"> </v>
      </c>
    </row>
    <row r="238" spans="1:17" x14ac:dyDescent="0.25">
      <c r="A238">
        <v>0</v>
      </c>
      <c r="E238">
        <v>238</v>
      </c>
      <c r="G238" t="str">
        <f t="shared" si="32"/>
        <v>2</v>
      </c>
      <c r="H238" t="str">
        <f t="shared" si="33"/>
        <v>3</v>
      </c>
      <c r="I238" t="str">
        <f t="shared" si="34"/>
        <v>8</v>
      </c>
      <c r="K238" t="str">
        <f t="shared" si="37"/>
        <v>2</v>
      </c>
      <c r="L238" t="str">
        <f t="shared" si="38"/>
        <v>3</v>
      </c>
      <c r="M238" t="str">
        <f t="shared" si="39"/>
        <v>8</v>
      </c>
      <c r="O238" s="69">
        <f t="shared" si="40"/>
        <v>13</v>
      </c>
      <c r="P238">
        <f t="shared" si="35"/>
        <v>78</v>
      </c>
      <c r="Q238" t="str">
        <f t="shared" si="36"/>
        <v xml:space="preserve"> </v>
      </c>
    </row>
    <row r="239" spans="1:17" x14ac:dyDescent="0.25">
      <c r="A239">
        <v>0</v>
      </c>
      <c r="E239">
        <v>239</v>
      </c>
      <c r="G239" t="str">
        <f t="shared" si="32"/>
        <v>2</v>
      </c>
      <c r="H239" t="str">
        <f t="shared" si="33"/>
        <v>3</v>
      </c>
      <c r="I239" t="str">
        <f t="shared" si="34"/>
        <v>9</v>
      </c>
      <c r="K239" t="str">
        <f t="shared" si="37"/>
        <v>2</v>
      </c>
      <c r="L239" t="str">
        <f t="shared" si="38"/>
        <v>3</v>
      </c>
      <c r="M239" t="str">
        <f t="shared" si="39"/>
        <v>9</v>
      </c>
      <c r="O239" s="69">
        <f t="shared" si="40"/>
        <v>14</v>
      </c>
      <c r="P239">
        <f t="shared" si="35"/>
        <v>84</v>
      </c>
      <c r="Q239" t="str">
        <f t="shared" si="36"/>
        <v xml:space="preserve"> </v>
      </c>
    </row>
    <row r="240" spans="1:17" x14ac:dyDescent="0.25">
      <c r="A240">
        <v>0</v>
      </c>
      <c r="E240">
        <v>240</v>
      </c>
      <c r="G240" t="str">
        <f t="shared" si="32"/>
        <v>2</v>
      </c>
      <c r="H240" t="str">
        <f t="shared" si="33"/>
        <v>4</v>
      </c>
      <c r="I240" t="str">
        <f t="shared" si="34"/>
        <v>0</v>
      </c>
      <c r="K240" t="str">
        <f t="shared" si="37"/>
        <v>2</v>
      </c>
      <c r="L240" t="str">
        <f t="shared" si="38"/>
        <v>4</v>
      </c>
      <c r="M240" t="str">
        <f t="shared" si="39"/>
        <v>0</v>
      </c>
      <c r="O240" s="69">
        <f t="shared" si="40"/>
        <v>6</v>
      </c>
      <c r="P240">
        <f t="shared" si="35"/>
        <v>36</v>
      </c>
      <c r="Q240" t="str">
        <f t="shared" si="36"/>
        <v xml:space="preserve"> </v>
      </c>
    </row>
    <row r="241" spans="1:17" x14ac:dyDescent="0.25">
      <c r="A241">
        <v>0</v>
      </c>
      <c r="E241">
        <v>241</v>
      </c>
      <c r="G241" t="str">
        <f t="shared" si="32"/>
        <v>2</v>
      </c>
      <c r="H241" t="str">
        <f t="shared" si="33"/>
        <v>4</v>
      </c>
      <c r="I241" t="str">
        <f t="shared" si="34"/>
        <v>1</v>
      </c>
      <c r="K241" t="str">
        <f t="shared" si="37"/>
        <v>2</v>
      </c>
      <c r="L241" t="str">
        <f t="shared" si="38"/>
        <v>4</v>
      </c>
      <c r="M241" t="str">
        <f t="shared" si="39"/>
        <v>1</v>
      </c>
      <c r="O241" s="69">
        <f t="shared" si="40"/>
        <v>7</v>
      </c>
      <c r="P241">
        <f t="shared" si="35"/>
        <v>42</v>
      </c>
      <c r="Q241" t="str">
        <f t="shared" si="36"/>
        <v xml:space="preserve"> </v>
      </c>
    </row>
    <row r="242" spans="1:17" x14ac:dyDescent="0.25">
      <c r="A242">
        <v>0</v>
      </c>
      <c r="E242">
        <v>242</v>
      </c>
      <c r="G242" t="str">
        <f t="shared" si="32"/>
        <v>2</v>
      </c>
      <c r="H242" t="str">
        <f t="shared" si="33"/>
        <v>4</v>
      </c>
      <c r="I242" t="str">
        <f t="shared" si="34"/>
        <v>2</v>
      </c>
      <c r="K242" t="str">
        <f t="shared" si="37"/>
        <v>2</v>
      </c>
      <c r="L242" t="str">
        <f t="shared" si="38"/>
        <v>4</v>
      </c>
      <c r="M242" t="str">
        <f t="shared" si="39"/>
        <v>2</v>
      </c>
      <c r="O242" s="69">
        <f t="shared" si="40"/>
        <v>8</v>
      </c>
      <c r="P242">
        <f t="shared" si="35"/>
        <v>48</v>
      </c>
      <c r="Q242" t="str">
        <f t="shared" si="36"/>
        <v xml:space="preserve"> </v>
      </c>
    </row>
    <row r="243" spans="1:17" x14ac:dyDescent="0.25">
      <c r="A243">
        <v>0</v>
      </c>
      <c r="E243">
        <v>243</v>
      </c>
      <c r="G243" t="str">
        <f t="shared" si="32"/>
        <v>2</v>
      </c>
      <c r="H243" t="str">
        <f t="shared" si="33"/>
        <v>4</v>
      </c>
      <c r="I243" t="str">
        <f t="shared" si="34"/>
        <v>3</v>
      </c>
      <c r="K243" t="str">
        <f t="shared" si="37"/>
        <v>2</v>
      </c>
      <c r="L243" t="str">
        <f t="shared" si="38"/>
        <v>4</v>
      </c>
      <c r="M243" t="str">
        <f t="shared" si="39"/>
        <v>3</v>
      </c>
      <c r="O243" s="69">
        <f t="shared" si="40"/>
        <v>9</v>
      </c>
      <c r="P243">
        <f t="shared" si="35"/>
        <v>54</v>
      </c>
      <c r="Q243" t="str">
        <f t="shared" si="36"/>
        <v xml:space="preserve"> </v>
      </c>
    </row>
    <row r="244" spans="1:17" x14ac:dyDescent="0.25">
      <c r="A244">
        <v>0</v>
      </c>
      <c r="E244">
        <v>244</v>
      </c>
      <c r="G244" t="str">
        <f t="shared" si="32"/>
        <v>2</v>
      </c>
      <c r="H244" t="str">
        <f t="shared" si="33"/>
        <v>4</v>
      </c>
      <c r="I244" t="str">
        <f t="shared" si="34"/>
        <v>4</v>
      </c>
      <c r="K244" t="str">
        <f t="shared" si="37"/>
        <v>2</v>
      </c>
      <c r="L244" t="str">
        <f t="shared" si="38"/>
        <v>4</v>
      </c>
      <c r="M244" t="str">
        <f t="shared" si="39"/>
        <v>4</v>
      </c>
      <c r="O244" s="69">
        <f t="shared" si="40"/>
        <v>10</v>
      </c>
      <c r="P244">
        <f t="shared" si="35"/>
        <v>60</v>
      </c>
      <c r="Q244" t="str">
        <f t="shared" si="36"/>
        <v xml:space="preserve"> </v>
      </c>
    </row>
    <row r="245" spans="1:17" x14ac:dyDescent="0.25">
      <c r="A245">
        <v>0</v>
      </c>
      <c r="E245">
        <v>245</v>
      </c>
      <c r="G245" t="str">
        <f t="shared" si="32"/>
        <v>2</v>
      </c>
      <c r="H245" t="str">
        <f t="shared" si="33"/>
        <v>4</v>
      </c>
      <c r="I245" t="str">
        <f t="shared" si="34"/>
        <v>5</v>
      </c>
      <c r="K245" t="str">
        <f t="shared" si="37"/>
        <v>2</v>
      </c>
      <c r="L245" t="str">
        <f t="shared" si="38"/>
        <v>4</v>
      </c>
      <c r="M245" t="str">
        <f t="shared" si="39"/>
        <v>5</v>
      </c>
      <c r="O245" s="69">
        <f t="shared" si="40"/>
        <v>11</v>
      </c>
      <c r="P245">
        <f t="shared" si="35"/>
        <v>66</v>
      </c>
      <c r="Q245" t="str">
        <f t="shared" si="36"/>
        <v xml:space="preserve"> </v>
      </c>
    </row>
    <row r="246" spans="1:17" x14ac:dyDescent="0.25">
      <c r="A246">
        <v>0</v>
      </c>
      <c r="E246">
        <v>246</v>
      </c>
      <c r="G246" t="str">
        <f t="shared" si="32"/>
        <v>2</v>
      </c>
      <c r="H246" t="str">
        <f t="shared" si="33"/>
        <v>4</v>
      </c>
      <c r="I246" t="str">
        <f t="shared" si="34"/>
        <v>6</v>
      </c>
      <c r="K246" t="str">
        <f t="shared" si="37"/>
        <v>2</v>
      </c>
      <c r="L246" t="str">
        <f t="shared" si="38"/>
        <v>4</v>
      </c>
      <c r="M246" t="str">
        <f t="shared" si="39"/>
        <v>6</v>
      </c>
      <c r="O246" s="69">
        <f t="shared" si="40"/>
        <v>12</v>
      </c>
      <c r="P246">
        <f t="shared" si="35"/>
        <v>72</v>
      </c>
      <c r="Q246" t="str">
        <f t="shared" si="36"/>
        <v xml:space="preserve"> </v>
      </c>
    </row>
    <row r="247" spans="1:17" x14ac:dyDescent="0.25">
      <c r="A247">
        <v>0</v>
      </c>
      <c r="E247">
        <v>247</v>
      </c>
      <c r="G247" t="str">
        <f t="shared" si="32"/>
        <v>2</v>
      </c>
      <c r="H247" t="str">
        <f t="shared" si="33"/>
        <v>4</v>
      </c>
      <c r="I247" t="str">
        <f t="shared" si="34"/>
        <v>7</v>
      </c>
      <c r="K247" t="str">
        <f t="shared" si="37"/>
        <v>2</v>
      </c>
      <c r="L247" t="str">
        <f t="shared" si="38"/>
        <v>4</v>
      </c>
      <c r="M247" t="str">
        <f t="shared" si="39"/>
        <v>7</v>
      </c>
      <c r="O247" s="69">
        <f t="shared" si="40"/>
        <v>13</v>
      </c>
      <c r="P247">
        <f t="shared" si="35"/>
        <v>78</v>
      </c>
      <c r="Q247" t="str">
        <f t="shared" si="36"/>
        <v xml:space="preserve"> </v>
      </c>
    </row>
    <row r="248" spans="1:17" x14ac:dyDescent="0.25">
      <c r="A248">
        <v>0</v>
      </c>
      <c r="E248">
        <v>248</v>
      </c>
      <c r="G248" t="str">
        <f t="shared" si="32"/>
        <v>2</v>
      </c>
      <c r="H248" t="str">
        <f t="shared" si="33"/>
        <v>4</v>
      </c>
      <c r="I248" t="str">
        <f t="shared" si="34"/>
        <v>8</v>
      </c>
      <c r="K248" t="str">
        <f t="shared" si="37"/>
        <v>2</v>
      </c>
      <c r="L248" t="str">
        <f t="shared" si="38"/>
        <v>4</v>
      </c>
      <c r="M248" t="str">
        <f t="shared" si="39"/>
        <v>8</v>
      </c>
      <c r="O248" s="69">
        <f t="shared" si="40"/>
        <v>14</v>
      </c>
      <c r="P248">
        <f t="shared" si="35"/>
        <v>84</v>
      </c>
      <c r="Q248" t="str">
        <f t="shared" si="36"/>
        <v xml:space="preserve"> </v>
      </c>
    </row>
    <row r="249" spans="1:17" x14ac:dyDescent="0.25">
      <c r="A249">
        <v>0</v>
      </c>
      <c r="E249">
        <v>249</v>
      </c>
      <c r="G249" t="str">
        <f t="shared" si="32"/>
        <v>2</v>
      </c>
      <c r="H249" t="str">
        <f t="shared" si="33"/>
        <v>4</v>
      </c>
      <c r="I249" t="str">
        <f t="shared" si="34"/>
        <v>9</v>
      </c>
      <c r="K249" t="str">
        <f t="shared" si="37"/>
        <v>2</v>
      </c>
      <c r="L249" t="str">
        <f t="shared" si="38"/>
        <v>4</v>
      </c>
      <c r="M249" t="str">
        <f t="shared" si="39"/>
        <v>9</v>
      </c>
      <c r="O249" s="69">
        <f t="shared" si="40"/>
        <v>15</v>
      </c>
      <c r="P249">
        <f t="shared" si="35"/>
        <v>90</v>
      </c>
      <c r="Q249" t="str">
        <f t="shared" si="36"/>
        <v xml:space="preserve"> </v>
      </c>
    </row>
    <row r="250" spans="1:17" x14ac:dyDescent="0.25">
      <c r="A250">
        <v>0</v>
      </c>
      <c r="E250">
        <v>250</v>
      </c>
      <c r="G250" t="str">
        <f t="shared" si="32"/>
        <v>2</v>
      </c>
      <c r="H250" t="str">
        <f t="shared" si="33"/>
        <v>5</v>
      </c>
      <c r="I250" t="str">
        <f t="shared" si="34"/>
        <v>0</v>
      </c>
      <c r="K250" t="str">
        <f t="shared" si="37"/>
        <v>2</v>
      </c>
      <c r="L250" t="str">
        <f t="shared" si="38"/>
        <v>5</v>
      </c>
      <c r="M250" t="str">
        <f t="shared" si="39"/>
        <v>0</v>
      </c>
      <c r="O250" s="69">
        <f t="shared" si="40"/>
        <v>7</v>
      </c>
      <c r="P250">
        <f t="shared" si="35"/>
        <v>42</v>
      </c>
      <c r="Q250" t="str">
        <f t="shared" si="36"/>
        <v xml:space="preserve"> </v>
      </c>
    </row>
    <row r="251" spans="1:17" x14ac:dyDescent="0.25">
      <c r="A251">
        <v>0</v>
      </c>
      <c r="E251">
        <v>251</v>
      </c>
      <c r="G251" t="str">
        <f t="shared" si="32"/>
        <v>2</v>
      </c>
      <c r="H251" t="str">
        <f t="shared" si="33"/>
        <v>5</v>
      </c>
      <c r="I251" t="str">
        <f t="shared" si="34"/>
        <v>1</v>
      </c>
      <c r="K251" t="str">
        <f t="shared" si="37"/>
        <v>2</v>
      </c>
      <c r="L251" t="str">
        <f t="shared" si="38"/>
        <v>5</v>
      </c>
      <c r="M251" t="str">
        <f t="shared" si="39"/>
        <v>1</v>
      </c>
      <c r="O251" s="69">
        <f t="shared" si="40"/>
        <v>8</v>
      </c>
      <c r="P251">
        <f t="shared" si="35"/>
        <v>48</v>
      </c>
      <c r="Q251" t="str">
        <f t="shared" si="36"/>
        <v xml:space="preserve"> </v>
      </c>
    </row>
    <row r="252" spans="1:17" x14ac:dyDescent="0.25">
      <c r="A252">
        <v>0</v>
      </c>
      <c r="E252">
        <v>252</v>
      </c>
      <c r="G252" t="str">
        <f t="shared" si="32"/>
        <v>2</v>
      </c>
      <c r="H252" t="str">
        <f t="shared" si="33"/>
        <v>5</v>
      </c>
      <c r="I252" t="str">
        <f t="shared" si="34"/>
        <v>2</v>
      </c>
      <c r="K252" t="str">
        <f t="shared" si="37"/>
        <v>2</v>
      </c>
      <c r="L252" t="str">
        <f t="shared" si="38"/>
        <v>5</v>
      </c>
      <c r="M252" t="str">
        <f t="shared" si="39"/>
        <v>2</v>
      </c>
      <c r="O252" s="69">
        <f t="shared" si="40"/>
        <v>9</v>
      </c>
      <c r="P252">
        <f t="shared" si="35"/>
        <v>54</v>
      </c>
      <c r="Q252" t="str">
        <f t="shared" si="36"/>
        <v xml:space="preserve"> </v>
      </c>
    </row>
    <row r="253" spans="1:17" x14ac:dyDescent="0.25">
      <c r="A253">
        <v>0</v>
      </c>
      <c r="E253">
        <v>253</v>
      </c>
      <c r="G253" t="str">
        <f t="shared" si="32"/>
        <v>2</v>
      </c>
      <c r="H253" t="str">
        <f t="shared" si="33"/>
        <v>5</v>
      </c>
      <c r="I253" t="str">
        <f t="shared" si="34"/>
        <v>3</v>
      </c>
      <c r="K253" t="str">
        <f t="shared" si="37"/>
        <v>2</v>
      </c>
      <c r="L253" t="str">
        <f t="shared" si="38"/>
        <v>5</v>
      </c>
      <c r="M253" t="str">
        <f t="shared" si="39"/>
        <v>3</v>
      </c>
      <c r="O253" s="69">
        <f t="shared" si="40"/>
        <v>10</v>
      </c>
      <c r="P253">
        <f t="shared" si="35"/>
        <v>60</v>
      </c>
      <c r="Q253" t="str">
        <f t="shared" si="36"/>
        <v xml:space="preserve"> </v>
      </c>
    </row>
    <row r="254" spans="1:17" x14ac:dyDescent="0.25">
      <c r="A254">
        <v>0</v>
      </c>
      <c r="E254">
        <v>254</v>
      </c>
      <c r="G254" t="str">
        <f t="shared" si="32"/>
        <v>2</v>
      </c>
      <c r="H254" t="str">
        <f t="shared" si="33"/>
        <v>5</v>
      </c>
      <c r="I254" t="str">
        <f t="shared" si="34"/>
        <v>4</v>
      </c>
      <c r="K254" t="str">
        <f t="shared" si="37"/>
        <v>2</v>
      </c>
      <c r="L254" t="str">
        <f t="shared" si="38"/>
        <v>5</v>
      </c>
      <c r="M254" t="str">
        <f t="shared" si="39"/>
        <v>4</v>
      </c>
      <c r="O254" s="69">
        <f t="shared" si="40"/>
        <v>11</v>
      </c>
      <c r="P254">
        <f t="shared" si="35"/>
        <v>66</v>
      </c>
      <c r="Q254" t="str">
        <f t="shared" si="36"/>
        <v xml:space="preserve"> </v>
      </c>
    </row>
    <row r="255" spans="1:17" x14ac:dyDescent="0.25">
      <c r="A255">
        <v>0</v>
      </c>
      <c r="E255">
        <v>255</v>
      </c>
      <c r="G255" t="str">
        <f t="shared" si="32"/>
        <v>2</v>
      </c>
      <c r="H255" t="str">
        <f t="shared" si="33"/>
        <v>5</v>
      </c>
      <c r="I255" t="str">
        <f t="shared" si="34"/>
        <v>5</v>
      </c>
      <c r="K255" t="str">
        <f t="shared" si="37"/>
        <v>2</v>
      </c>
      <c r="L255" t="str">
        <f t="shared" si="38"/>
        <v>5</v>
      </c>
      <c r="M255" t="str">
        <f t="shared" si="39"/>
        <v>5</v>
      </c>
      <c r="O255" s="69">
        <f t="shared" si="40"/>
        <v>12</v>
      </c>
      <c r="P255">
        <f t="shared" si="35"/>
        <v>72</v>
      </c>
      <c r="Q255" t="str">
        <f t="shared" si="36"/>
        <v xml:space="preserve"> </v>
      </c>
    </row>
    <row r="256" spans="1:17" x14ac:dyDescent="0.25">
      <c r="A256">
        <v>0</v>
      </c>
      <c r="E256">
        <v>256</v>
      </c>
      <c r="G256" t="str">
        <f t="shared" si="32"/>
        <v>2</v>
      </c>
      <c r="H256" t="str">
        <f t="shared" si="33"/>
        <v>5</v>
      </c>
      <c r="I256" t="str">
        <f t="shared" si="34"/>
        <v>6</v>
      </c>
      <c r="K256" t="str">
        <f t="shared" si="37"/>
        <v>2</v>
      </c>
      <c r="L256" t="str">
        <f t="shared" si="38"/>
        <v>5</v>
      </c>
      <c r="M256" t="str">
        <f t="shared" si="39"/>
        <v>6</v>
      </c>
      <c r="O256" s="69">
        <f t="shared" si="40"/>
        <v>13</v>
      </c>
      <c r="P256">
        <f t="shared" si="35"/>
        <v>78</v>
      </c>
      <c r="Q256" t="str">
        <f t="shared" si="36"/>
        <v xml:space="preserve"> </v>
      </c>
    </row>
    <row r="257" spans="1:17" x14ac:dyDescent="0.25">
      <c r="A257">
        <v>0</v>
      </c>
      <c r="E257">
        <v>257</v>
      </c>
      <c r="G257" t="str">
        <f t="shared" si="32"/>
        <v>2</v>
      </c>
      <c r="H257" t="str">
        <f t="shared" si="33"/>
        <v>5</v>
      </c>
      <c r="I257" t="str">
        <f t="shared" si="34"/>
        <v>7</v>
      </c>
      <c r="K257" t="str">
        <f t="shared" si="37"/>
        <v>2</v>
      </c>
      <c r="L257" t="str">
        <f t="shared" si="38"/>
        <v>5</v>
      </c>
      <c r="M257" t="str">
        <f t="shared" si="39"/>
        <v>7</v>
      </c>
      <c r="O257" s="69">
        <f t="shared" si="40"/>
        <v>14</v>
      </c>
      <c r="P257">
        <f t="shared" si="35"/>
        <v>84</v>
      </c>
      <c r="Q257" t="str">
        <f t="shared" si="36"/>
        <v xml:space="preserve"> </v>
      </c>
    </row>
    <row r="258" spans="1:17" x14ac:dyDescent="0.25">
      <c r="A258">
        <v>0</v>
      </c>
      <c r="E258">
        <v>258</v>
      </c>
      <c r="G258" t="str">
        <f t="shared" ref="G258:G321" si="41">+MID(E258,1,1)</f>
        <v>2</v>
      </c>
      <c r="H258" t="str">
        <f t="shared" ref="H258:H321" si="42">+MID(E258,2,1)</f>
        <v>5</v>
      </c>
      <c r="I258" t="str">
        <f t="shared" ref="I258:I321" si="43">+MID(E258,3,1)</f>
        <v>8</v>
      </c>
      <c r="K258" t="str">
        <f t="shared" si="37"/>
        <v>2</v>
      </c>
      <c r="L258" t="str">
        <f t="shared" si="38"/>
        <v>5</v>
      </c>
      <c r="M258" t="str">
        <f t="shared" si="39"/>
        <v>8</v>
      </c>
      <c r="O258" s="69">
        <f t="shared" si="40"/>
        <v>15</v>
      </c>
      <c r="P258">
        <f t="shared" ref="P258:P321" si="44">+O258*6</f>
        <v>90</v>
      </c>
      <c r="Q258" t="str">
        <f t="shared" ref="Q258:Q321" si="45">+IF(P258=E258,"OK"," ")</f>
        <v xml:space="preserve"> </v>
      </c>
    </row>
    <row r="259" spans="1:17" x14ac:dyDescent="0.25">
      <c r="A259">
        <v>0</v>
      </c>
      <c r="E259">
        <v>259</v>
      </c>
      <c r="G259" t="str">
        <f t="shared" si="41"/>
        <v>2</v>
      </c>
      <c r="H259" t="str">
        <f t="shared" si="42"/>
        <v>5</v>
      </c>
      <c r="I259" t="str">
        <f t="shared" si="43"/>
        <v>9</v>
      </c>
      <c r="K259" t="str">
        <f t="shared" si="37"/>
        <v>2</v>
      </c>
      <c r="L259" t="str">
        <f t="shared" si="38"/>
        <v>5</v>
      </c>
      <c r="M259" t="str">
        <f t="shared" si="39"/>
        <v>9</v>
      </c>
      <c r="O259" s="69">
        <f t="shared" si="40"/>
        <v>16</v>
      </c>
      <c r="P259">
        <f t="shared" si="44"/>
        <v>96</v>
      </c>
      <c r="Q259" t="str">
        <f t="shared" si="45"/>
        <v xml:space="preserve"> </v>
      </c>
    </row>
    <row r="260" spans="1:17" x14ac:dyDescent="0.25">
      <c r="A260">
        <v>0</v>
      </c>
      <c r="E260">
        <v>260</v>
      </c>
      <c r="G260" t="str">
        <f t="shared" si="41"/>
        <v>2</v>
      </c>
      <c r="H260" t="str">
        <f t="shared" si="42"/>
        <v>6</v>
      </c>
      <c r="I260" t="str">
        <f t="shared" si="43"/>
        <v>0</v>
      </c>
      <c r="K260" t="str">
        <f t="shared" si="37"/>
        <v>2</v>
      </c>
      <c r="L260" t="str">
        <f t="shared" si="38"/>
        <v>6</v>
      </c>
      <c r="M260" t="str">
        <f t="shared" si="39"/>
        <v>0</v>
      </c>
      <c r="O260" s="69">
        <f t="shared" si="40"/>
        <v>8</v>
      </c>
      <c r="P260">
        <f t="shared" si="44"/>
        <v>48</v>
      </c>
      <c r="Q260" t="str">
        <f t="shared" si="45"/>
        <v xml:space="preserve"> </v>
      </c>
    </row>
    <row r="261" spans="1:17" x14ac:dyDescent="0.25">
      <c r="A261">
        <v>0</v>
      </c>
      <c r="E261">
        <v>261</v>
      </c>
      <c r="G261" t="str">
        <f t="shared" si="41"/>
        <v>2</v>
      </c>
      <c r="H261" t="str">
        <f t="shared" si="42"/>
        <v>6</v>
      </c>
      <c r="I261" t="str">
        <f t="shared" si="43"/>
        <v>1</v>
      </c>
      <c r="K261" t="str">
        <f t="shared" si="37"/>
        <v>2</v>
      </c>
      <c r="L261" t="str">
        <f t="shared" si="38"/>
        <v>6</v>
      </c>
      <c r="M261" t="str">
        <f t="shared" si="39"/>
        <v>1</v>
      </c>
      <c r="O261" s="69">
        <f t="shared" si="40"/>
        <v>9</v>
      </c>
      <c r="P261">
        <f t="shared" si="44"/>
        <v>54</v>
      </c>
      <c r="Q261" t="str">
        <f t="shared" si="45"/>
        <v xml:space="preserve"> </v>
      </c>
    </row>
    <row r="262" spans="1:17" x14ac:dyDescent="0.25">
      <c r="A262">
        <v>0</v>
      </c>
      <c r="E262">
        <v>262</v>
      </c>
      <c r="G262" t="str">
        <f t="shared" si="41"/>
        <v>2</v>
      </c>
      <c r="H262" t="str">
        <f t="shared" si="42"/>
        <v>6</v>
      </c>
      <c r="I262" t="str">
        <f t="shared" si="43"/>
        <v>2</v>
      </c>
      <c r="K262" t="str">
        <f t="shared" si="37"/>
        <v>2</v>
      </c>
      <c r="L262" t="str">
        <f t="shared" si="38"/>
        <v>6</v>
      </c>
      <c r="M262" t="str">
        <f t="shared" si="39"/>
        <v>2</v>
      </c>
      <c r="O262" s="69">
        <f t="shared" si="40"/>
        <v>10</v>
      </c>
      <c r="P262">
        <f t="shared" si="44"/>
        <v>60</v>
      </c>
      <c r="Q262" t="str">
        <f t="shared" si="45"/>
        <v xml:space="preserve"> </v>
      </c>
    </row>
    <row r="263" spans="1:17" x14ac:dyDescent="0.25">
      <c r="A263">
        <v>0</v>
      </c>
      <c r="E263">
        <v>263</v>
      </c>
      <c r="G263" t="str">
        <f t="shared" si="41"/>
        <v>2</v>
      </c>
      <c r="H263" t="str">
        <f t="shared" si="42"/>
        <v>6</v>
      </c>
      <c r="I263" t="str">
        <f t="shared" si="43"/>
        <v>3</v>
      </c>
      <c r="K263" t="str">
        <f t="shared" si="37"/>
        <v>2</v>
      </c>
      <c r="L263" t="str">
        <f t="shared" si="38"/>
        <v>6</v>
      </c>
      <c r="M263" t="str">
        <f t="shared" si="39"/>
        <v>3</v>
      </c>
      <c r="O263" s="69">
        <f t="shared" si="40"/>
        <v>11</v>
      </c>
      <c r="P263">
        <f t="shared" si="44"/>
        <v>66</v>
      </c>
      <c r="Q263" t="str">
        <f t="shared" si="45"/>
        <v xml:space="preserve"> </v>
      </c>
    </row>
    <row r="264" spans="1:17" x14ac:dyDescent="0.25">
      <c r="A264">
        <v>0</v>
      </c>
      <c r="E264">
        <v>264</v>
      </c>
      <c r="G264" t="str">
        <f t="shared" si="41"/>
        <v>2</v>
      </c>
      <c r="H264" t="str">
        <f t="shared" si="42"/>
        <v>6</v>
      </c>
      <c r="I264" t="str">
        <f t="shared" si="43"/>
        <v>4</v>
      </c>
      <c r="K264" t="str">
        <f t="shared" si="37"/>
        <v>2</v>
      </c>
      <c r="L264" t="str">
        <f t="shared" si="38"/>
        <v>6</v>
      </c>
      <c r="M264" t="str">
        <f t="shared" si="39"/>
        <v>4</v>
      </c>
      <c r="O264" s="69">
        <f t="shared" si="40"/>
        <v>12</v>
      </c>
      <c r="P264">
        <f t="shared" si="44"/>
        <v>72</v>
      </c>
      <c r="Q264" t="str">
        <f t="shared" si="45"/>
        <v xml:space="preserve"> </v>
      </c>
    </row>
    <row r="265" spans="1:17" x14ac:dyDescent="0.25">
      <c r="A265">
        <v>0</v>
      </c>
      <c r="E265">
        <v>265</v>
      </c>
      <c r="G265" t="str">
        <f t="shared" si="41"/>
        <v>2</v>
      </c>
      <c r="H265" t="str">
        <f t="shared" si="42"/>
        <v>6</v>
      </c>
      <c r="I265" t="str">
        <f t="shared" si="43"/>
        <v>5</v>
      </c>
      <c r="K265" t="str">
        <f t="shared" si="37"/>
        <v>2</v>
      </c>
      <c r="L265" t="str">
        <f t="shared" si="38"/>
        <v>6</v>
      </c>
      <c r="M265" t="str">
        <f t="shared" si="39"/>
        <v>5</v>
      </c>
      <c r="O265" s="69">
        <f t="shared" si="40"/>
        <v>13</v>
      </c>
      <c r="P265">
        <f t="shared" si="44"/>
        <v>78</v>
      </c>
      <c r="Q265" t="str">
        <f t="shared" si="45"/>
        <v xml:space="preserve"> </v>
      </c>
    </row>
    <row r="266" spans="1:17" x14ac:dyDescent="0.25">
      <c r="A266">
        <v>0</v>
      </c>
      <c r="E266">
        <v>266</v>
      </c>
      <c r="G266" t="str">
        <f t="shared" si="41"/>
        <v>2</v>
      </c>
      <c r="H266" t="str">
        <f t="shared" si="42"/>
        <v>6</v>
      </c>
      <c r="I266" t="str">
        <f t="shared" si="43"/>
        <v>6</v>
      </c>
      <c r="K266" t="str">
        <f t="shared" si="37"/>
        <v>2</v>
      </c>
      <c r="L266" t="str">
        <f t="shared" si="38"/>
        <v>6</v>
      </c>
      <c r="M266" t="str">
        <f t="shared" si="39"/>
        <v>6</v>
      </c>
      <c r="O266" s="69">
        <f t="shared" si="40"/>
        <v>14</v>
      </c>
      <c r="P266">
        <f t="shared" si="44"/>
        <v>84</v>
      </c>
      <c r="Q266" t="str">
        <f t="shared" si="45"/>
        <v xml:space="preserve"> </v>
      </c>
    </row>
    <row r="267" spans="1:17" x14ac:dyDescent="0.25">
      <c r="A267">
        <v>0</v>
      </c>
      <c r="E267">
        <v>267</v>
      </c>
      <c r="G267" t="str">
        <f t="shared" si="41"/>
        <v>2</v>
      </c>
      <c r="H267" t="str">
        <f t="shared" si="42"/>
        <v>6</v>
      </c>
      <c r="I267" t="str">
        <f t="shared" si="43"/>
        <v>7</v>
      </c>
      <c r="K267" t="str">
        <f t="shared" si="37"/>
        <v>2</v>
      </c>
      <c r="L267" t="str">
        <f t="shared" si="38"/>
        <v>6</v>
      </c>
      <c r="M267" t="str">
        <f t="shared" si="39"/>
        <v>7</v>
      </c>
      <c r="O267" s="69">
        <f t="shared" si="40"/>
        <v>15</v>
      </c>
      <c r="P267">
        <f t="shared" si="44"/>
        <v>90</v>
      </c>
      <c r="Q267" t="str">
        <f t="shared" si="45"/>
        <v xml:space="preserve"> </v>
      </c>
    </row>
    <row r="268" spans="1:17" x14ac:dyDescent="0.25">
      <c r="A268">
        <v>0</v>
      </c>
      <c r="E268">
        <v>268</v>
      </c>
      <c r="G268" t="str">
        <f t="shared" si="41"/>
        <v>2</v>
      </c>
      <c r="H268" t="str">
        <f t="shared" si="42"/>
        <v>6</v>
      </c>
      <c r="I268" t="str">
        <f t="shared" si="43"/>
        <v>8</v>
      </c>
      <c r="K268" t="str">
        <f t="shared" si="37"/>
        <v>2</v>
      </c>
      <c r="L268" t="str">
        <f t="shared" si="38"/>
        <v>6</v>
      </c>
      <c r="M268" t="str">
        <f t="shared" si="39"/>
        <v>8</v>
      </c>
      <c r="O268" s="69">
        <f t="shared" si="40"/>
        <v>16</v>
      </c>
      <c r="P268">
        <f t="shared" si="44"/>
        <v>96</v>
      </c>
      <c r="Q268" t="str">
        <f t="shared" si="45"/>
        <v xml:space="preserve"> </v>
      </c>
    </row>
    <row r="269" spans="1:17" x14ac:dyDescent="0.25">
      <c r="A269">
        <v>0</v>
      </c>
      <c r="E269">
        <v>269</v>
      </c>
      <c r="G269" t="str">
        <f t="shared" si="41"/>
        <v>2</v>
      </c>
      <c r="H269" t="str">
        <f t="shared" si="42"/>
        <v>6</v>
      </c>
      <c r="I269" t="str">
        <f t="shared" si="43"/>
        <v>9</v>
      </c>
      <c r="K269" t="str">
        <f t="shared" si="37"/>
        <v>2</v>
      </c>
      <c r="L269" t="str">
        <f t="shared" si="38"/>
        <v>6</v>
      </c>
      <c r="M269" t="str">
        <f t="shared" si="39"/>
        <v>9</v>
      </c>
      <c r="O269" s="69">
        <f t="shared" si="40"/>
        <v>17</v>
      </c>
      <c r="P269">
        <f t="shared" si="44"/>
        <v>102</v>
      </c>
      <c r="Q269" t="str">
        <f t="shared" si="45"/>
        <v xml:space="preserve"> </v>
      </c>
    </row>
    <row r="270" spans="1:17" x14ac:dyDescent="0.25">
      <c r="A270">
        <v>0</v>
      </c>
      <c r="E270">
        <v>270</v>
      </c>
      <c r="G270" t="str">
        <f t="shared" si="41"/>
        <v>2</v>
      </c>
      <c r="H270" t="str">
        <f t="shared" si="42"/>
        <v>7</v>
      </c>
      <c r="I270" t="str">
        <f t="shared" si="43"/>
        <v>0</v>
      </c>
      <c r="K270" t="str">
        <f t="shared" si="37"/>
        <v>2</v>
      </c>
      <c r="L270" t="str">
        <f t="shared" si="38"/>
        <v>7</v>
      </c>
      <c r="M270" t="str">
        <f t="shared" si="39"/>
        <v>0</v>
      </c>
      <c r="O270" s="69">
        <f t="shared" si="40"/>
        <v>9</v>
      </c>
      <c r="P270">
        <f t="shared" si="44"/>
        <v>54</v>
      </c>
      <c r="Q270" t="str">
        <f t="shared" si="45"/>
        <v xml:space="preserve"> </v>
      </c>
    </row>
    <row r="271" spans="1:17" x14ac:dyDescent="0.25">
      <c r="A271">
        <v>0</v>
      </c>
      <c r="E271">
        <v>271</v>
      </c>
      <c r="G271" t="str">
        <f t="shared" si="41"/>
        <v>2</v>
      </c>
      <c r="H271" t="str">
        <f t="shared" si="42"/>
        <v>7</v>
      </c>
      <c r="I271" t="str">
        <f t="shared" si="43"/>
        <v>1</v>
      </c>
      <c r="K271" t="str">
        <f t="shared" si="37"/>
        <v>2</v>
      </c>
      <c r="L271" t="str">
        <f t="shared" si="38"/>
        <v>7</v>
      </c>
      <c r="M271" t="str">
        <f t="shared" si="39"/>
        <v>1</v>
      </c>
      <c r="O271" s="69">
        <f t="shared" si="40"/>
        <v>10</v>
      </c>
      <c r="P271">
        <f t="shared" si="44"/>
        <v>60</v>
      </c>
      <c r="Q271" t="str">
        <f t="shared" si="45"/>
        <v xml:space="preserve"> </v>
      </c>
    </row>
    <row r="272" spans="1:17" x14ac:dyDescent="0.25">
      <c r="A272">
        <v>0</v>
      </c>
      <c r="E272">
        <v>272</v>
      </c>
      <c r="G272" t="str">
        <f t="shared" si="41"/>
        <v>2</v>
      </c>
      <c r="H272" t="str">
        <f t="shared" si="42"/>
        <v>7</v>
      </c>
      <c r="I272" t="str">
        <f t="shared" si="43"/>
        <v>2</v>
      </c>
      <c r="K272" t="str">
        <f t="shared" si="37"/>
        <v>2</v>
      </c>
      <c r="L272" t="str">
        <f t="shared" si="38"/>
        <v>7</v>
      </c>
      <c r="M272" t="str">
        <f t="shared" si="39"/>
        <v>2</v>
      </c>
      <c r="O272" s="69">
        <f t="shared" si="40"/>
        <v>11</v>
      </c>
      <c r="P272">
        <f t="shared" si="44"/>
        <v>66</v>
      </c>
      <c r="Q272" t="str">
        <f t="shared" si="45"/>
        <v xml:space="preserve"> </v>
      </c>
    </row>
    <row r="273" spans="1:17" x14ac:dyDescent="0.25">
      <c r="A273">
        <v>0</v>
      </c>
      <c r="E273">
        <v>273</v>
      </c>
      <c r="G273" t="str">
        <f t="shared" si="41"/>
        <v>2</v>
      </c>
      <c r="H273" t="str">
        <f t="shared" si="42"/>
        <v>7</v>
      </c>
      <c r="I273" t="str">
        <f t="shared" si="43"/>
        <v>3</v>
      </c>
      <c r="K273" t="str">
        <f t="shared" si="37"/>
        <v>2</v>
      </c>
      <c r="L273" t="str">
        <f t="shared" si="38"/>
        <v>7</v>
      </c>
      <c r="M273" t="str">
        <f t="shared" si="39"/>
        <v>3</v>
      </c>
      <c r="O273" s="69">
        <f t="shared" si="40"/>
        <v>12</v>
      </c>
      <c r="P273">
        <f t="shared" si="44"/>
        <v>72</v>
      </c>
      <c r="Q273" t="str">
        <f t="shared" si="45"/>
        <v xml:space="preserve"> </v>
      </c>
    </row>
    <row r="274" spans="1:17" x14ac:dyDescent="0.25">
      <c r="A274">
        <v>0</v>
      </c>
      <c r="E274">
        <v>274</v>
      </c>
      <c r="G274" t="str">
        <f t="shared" si="41"/>
        <v>2</v>
      </c>
      <c r="H274" t="str">
        <f t="shared" si="42"/>
        <v>7</v>
      </c>
      <c r="I274" t="str">
        <f t="shared" si="43"/>
        <v>4</v>
      </c>
      <c r="K274" t="str">
        <f t="shared" ref="K274:K337" si="46">+G274</f>
        <v>2</v>
      </c>
      <c r="L274" t="str">
        <f t="shared" ref="L274:L337" si="47">+H274</f>
        <v>7</v>
      </c>
      <c r="M274" t="str">
        <f t="shared" ref="M274:M337" si="48">+I274</f>
        <v>4</v>
      </c>
      <c r="O274" s="69">
        <f t="shared" si="40"/>
        <v>13</v>
      </c>
      <c r="P274">
        <f t="shared" si="44"/>
        <v>78</v>
      </c>
      <c r="Q274" t="str">
        <f t="shared" si="45"/>
        <v xml:space="preserve"> </v>
      </c>
    </row>
    <row r="275" spans="1:17" x14ac:dyDescent="0.25">
      <c r="A275">
        <v>0</v>
      </c>
      <c r="E275">
        <v>275</v>
      </c>
      <c r="G275" t="str">
        <f t="shared" si="41"/>
        <v>2</v>
      </c>
      <c r="H275" t="str">
        <f t="shared" si="42"/>
        <v>7</v>
      </c>
      <c r="I275" t="str">
        <f t="shared" si="43"/>
        <v>5</v>
      </c>
      <c r="K275" t="str">
        <f t="shared" si="46"/>
        <v>2</v>
      </c>
      <c r="L275" t="str">
        <f t="shared" si="47"/>
        <v>7</v>
      </c>
      <c r="M275" t="str">
        <f t="shared" si="48"/>
        <v>5</v>
      </c>
      <c r="O275" s="69">
        <f t="shared" si="40"/>
        <v>14</v>
      </c>
      <c r="P275">
        <f t="shared" si="44"/>
        <v>84</v>
      </c>
      <c r="Q275" t="str">
        <f t="shared" si="45"/>
        <v xml:space="preserve"> </v>
      </c>
    </row>
    <row r="276" spans="1:17" x14ac:dyDescent="0.25">
      <c r="A276">
        <v>0</v>
      </c>
      <c r="E276">
        <v>276</v>
      </c>
      <c r="G276" t="str">
        <f t="shared" si="41"/>
        <v>2</v>
      </c>
      <c r="H276" t="str">
        <f t="shared" si="42"/>
        <v>7</v>
      </c>
      <c r="I276" t="str">
        <f t="shared" si="43"/>
        <v>6</v>
      </c>
      <c r="K276" t="str">
        <f t="shared" si="46"/>
        <v>2</v>
      </c>
      <c r="L276" t="str">
        <f t="shared" si="47"/>
        <v>7</v>
      </c>
      <c r="M276" t="str">
        <f t="shared" si="48"/>
        <v>6</v>
      </c>
      <c r="O276" s="69">
        <f t="shared" si="40"/>
        <v>15</v>
      </c>
      <c r="P276">
        <f t="shared" si="44"/>
        <v>90</v>
      </c>
      <c r="Q276" t="str">
        <f t="shared" si="45"/>
        <v xml:space="preserve"> </v>
      </c>
    </row>
    <row r="277" spans="1:17" x14ac:dyDescent="0.25">
      <c r="A277">
        <v>0</v>
      </c>
      <c r="E277">
        <v>277</v>
      </c>
      <c r="G277" t="str">
        <f t="shared" si="41"/>
        <v>2</v>
      </c>
      <c r="H277" t="str">
        <f t="shared" si="42"/>
        <v>7</v>
      </c>
      <c r="I277" t="str">
        <f t="shared" si="43"/>
        <v>7</v>
      </c>
      <c r="K277" t="str">
        <f t="shared" si="46"/>
        <v>2</v>
      </c>
      <c r="L277" t="str">
        <f t="shared" si="47"/>
        <v>7</v>
      </c>
      <c r="M277" t="str">
        <f t="shared" si="48"/>
        <v>7</v>
      </c>
      <c r="O277" s="69">
        <f t="shared" si="40"/>
        <v>16</v>
      </c>
      <c r="P277">
        <f t="shared" si="44"/>
        <v>96</v>
      </c>
      <c r="Q277" t="str">
        <f t="shared" si="45"/>
        <v xml:space="preserve"> </v>
      </c>
    </row>
    <row r="278" spans="1:17" x14ac:dyDescent="0.25">
      <c r="A278">
        <v>0</v>
      </c>
      <c r="E278">
        <v>278</v>
      </c>
      <c r="G278" t="str">
        <f t="shared" si="41"/>
        <v>2</v>
      </c>
      <c r="H278" t="str">
        <f t="shared" si="42"/>
        <v>7</v>
      </c>
      <c r="I278" t="str">
        <f t="shared" si="43"/>
        <v>8</v>
      </c>
      <c r="K278" t="str">
        <f t="shared" si="46"/>
        <v>2</v>
      </c>
      <c r="L278" t="str">
        <f t="shared" si="47"/>
        <v>7</v>
      </c>
      <c r="M278" t="str">
        <f t="shared" si="48"/>
        <v>8</v>
      </c>
      <c r="O278" s="69">
        <f t="shared" si="40"/>
        <v>17</v>
      </c>
      <c r="P278">
        <f t="shared" si="44"/>
        <v>102</v>
      </c>
      <c r="Q278" t="str">
        <f t="shared" si="45"/>
        <v xml:space="preserve"> </v>
      </c>
    </row>
    <row r="279" spans="1:17" x14ac:dyDescent="0.25">
      <c r="A279">
        <v>0</v>
      </c>
      <c r="E279">
        <v>279</v>
      </c>
      <c r="G279" t="str">
        <f t="shared" si="41"/>
        <v>2</v>
      </c>
      <c r="H279" t="str">
        <f t="shared" si="42"/>
        <v>7</v>
      </c>
      <c r="I279" t="str">
        <f t="shared" si="43"/>
        <v>9</v>
      </c>
      <c r="K279" t="str">
        <f t="shared" si="46"/>
        <v>2</v>
      </c>
      <c r="L279" t="str">
        <f t="shared" si="47"/>
        <v>7</v>
      </c>
      <c r="M279" t="str">
        <f t="shared" si="48"/>
        <v>9</v>
      </c>
      <c r="O279" s="69">
        <f t="shared" si="40"/>
        <v>18</v>
      </c>
      <c r="P279">
        <f t="shared" si="44"/>
        <v>108</v>
      </c>
      <c r="Q279" t="str">
        <f t="shared" si="45"/>
        <v xml:space="preserve"> </v>
      </c>
    </row>
    <row r="280" spans="1:17" x14ac:dyDescent="0.25">
      <c r="A280">
        <v>0</v>
      </c>
      <c r="E280">
        <v>280</v>
      </c>
      <c r="G280" t="str">
        <f t="shared" si="41"/>
        <v>2</v>
      </c>
      <c r="H280" t="str">
        <f t="shared" si="42"/>
        <v>8</v>
      </c>
      <c r="I280" t="str">
        <f t="shared" si="43"/>
        <v>0</v>
      </c>
      <c r="K280" t="str">
        <f t="shared" si="46"/>
        <v>2</v>
      </c>
      <c r="L280" t="str">
        <f t="shared" si="47"/>
        <v>8</v>
      </c>
      <c r="M280" t="str">
        <f t="shared" si="48"/>
        <v>0</v>
      </c>
      <c r="O280" s="69">
        <f t="shared" si="40"/>
        <v>10</v>
      </c>
      <c r="P280">
        <f t="shared" si="44"/>
        <v>60</v>
      </c>
      <c r="Q280" t="str">
        <f t="shared" si="45"/>
        <v xml:space="preserve"> </v>
      </c>
    </row>
    <row r="281" spans="1:17" x14ac:dyDescent="0.25">
      <c r="A281">
        <v>0</v>
      </c>
      <c r="E281">
        <v>281</v>
      </c>
      <c r="G281" t="str">
        <f t="shared" si="41"/>
        <v>2</v>
      </c>
      <c r="H281" t="str">
        <f t="shared" si="42"/>
        <v>8</v>
      </c>
      <c r="I281" t="str">
        <f t="shared" si="43"/>
        <v>1</v>
      </c>
      <c r="K281" t="str">
        <f t="shared" si="46"/>
        <v>2</v>
      </c>
      <c r="L281" t="str">
        <f t="shared" si="47"/>
        <v>8</v>
      </c>
      <c r="M281" t="str">
        <f t="shared" si="48"/>
        <v>1</v>
      </c>
      <c r="O281" s="69">
        <f t="shared" si="40"/>
        <v>11</v>
      </c>
      <c r="P281">
        <f t="shared" si="44"/>
        <v>66</v>
      </c>
      <c r="Q281" t="str">
        <f t="shared" si="45"/>
        <v xml:space="preserve"> </v>
      </c>
    </row>
    <row r="282" spans="1:17" x14ac:dyDescent="0.25">
      <c r="A282">
        <v>0</v>
      </c>
      <c r="E282">
        <v>282</v>
      </c>
      <c r="G282" t="str">
        <f t="shared" si="41"/>
        <v>2</v>
      </c>
      <c r="H282" t="str">
        <f t="shared" si="42"/>
        <v>8</v>
      </c>
      <c r="I282" t="str">
        <f t="shared" si="43"/>
        <v>2</v>
      </c>
      <c r="K282" t="str">
        <f t="shared" si="46"/>
        <v>2</v>
      </c>
      <c r="L282" t="str">
        <f t="shared" si="47"/>
        <v>8</v>
      </c>
      <c r="M282" t="str">
        <f t="shared" si="48"/>
        <v>2</v>
      </c>
      <c r="O282" s="69">
        <f t="shared" si="40"/>
        <v>12</v>
      </c>
      <c r="P282">
        <f t="shared" si="44"/>
        <v>72</v>
      </c>
      <c r="Q282" t="str">
        <f t="shared" si="45"/>
        <v xml:space="preserve"> </v>
      </c>
    </row>
    <row r="283" spans="1:17" x14ac:dyDescent="0.25">
      <c r="A283">
        <v>0</v>
      </c>
      <c r="E283">
        <v>283</v>
      </c>
      <c r="G283" t="str">
        <f t="shared" si="41"/>
        <v>2</v>
      </c>
      <c r="H283" t="str">
        <f t="shared" si="42"/>
        <v>8</v>
      </c>
      <c r="I283" t="str">
        <f t="shared" si="43"/>
        <v>3</v>
      </c>
      <c r="K283" t="str">
        <f t="shared" si="46"/>
        <v>2</v>
      </c>
      <c r="L283" t="str">
        <f t="shared" si="47"/>
        <v>8</v>
      </c>
      <c r="M283" t="str">
        <f t="shared" si="48"/>
        <v>3</v>
      </c>
      <c r="O283" s="69">
        <f t="shared" si="40"/>
        <v>13</v>
      </c>
      <c r="P283">
        <f t="shared" si="44"/>
        <v>78</v>
      </c>
      <c r="Q283" t="str">
        <f t="shared" si="45"/>
        <v xml:space="preserve"> </v>
      </c>
    </row>
    <row r="284" spans="1:17" x14ac:dyDescent="0.25">
      <c r="A284">
        <v>0</v>
      </c>
      <c r="E284">
        <v>284</v>
      </c>
      <c r="G284" t="str">
        <f t="shared" si="41"/>
        <v>2</v>
      </c>
      <c r="H284" t="str">
        <f t="shared" si="42"/>
        <v>8</v>
      </c>
      <c r="I284" t="str">
        <f t="shared" si="43"/>
        <v>4</v>
      </c>
      <c r="K284" t="str">
        <f t="shared" si="46"/>
        <v>2</v>
      </c>
      <c r="L284" t="str">
        <f t="shared" si="47"/>
        <v>8</v>
      </c>
      <c r="M284" t="str">
        <f t="shared" si="48"/>
        <v>4</v>
      </c>
      <c r="O284" s="69">
        <f t="shared" si="40"/>
        <v>14</v>
      </c>
      <c r="P284">
        <f t="shared" si="44"/>
        <v>84</v>
      </c>
      <c r="Q284" t="str">
        <f t="shared" si="45"/>
        <v xml:space="preserve"> </v>
      </c>
    </row>
    <row r="285" spans="1:17" x14ac:dyDescent="0.25">
      <c r="A285">
        <v>0</v>
      </c>
      <c r="E285">
        <v>285</v>
      </c>
      <c r="G285" t="str">
        <f t="shared" si="41"/>
        <v>2</v>
      </c>
      <c r="H285" t="str">
        <f t="shared" si="42"/>
        <v>8</v>
      </c>
      <c r="I285" t="str">
        <f t="shared" si="43"/>
        <v>5</v>
      </c>
      <c r="K285" t="str">
        <f t="shared" si="46"/>
        <v>2</v>
      </c>
      <c r="L285" t="str">
        <f t="shared" si="47"/>
        <v>8</v>
      </c>
      <c r="M285" t="str">
        <f t="shared" si="48"/>
        <v>5</v>
      </c>
      <c r="O285" s="69">
        <f t="shared" si="40"/>
        <v>15</v>
      </c>
      <c r="P285">
        <f t="shared" si="44"/>
        <v>90</v>
      </c>
      <c r="Q285" t="str">
        <f t="shared" si="45"/>
        <v xml:space="preserve"> </v>
      </c>
    </row>
    <row r="286" spans="1:17" x14ac:dyDescent="0.25">
      <c r="A286">
        <v>0</v>
      </c>
      <c r="E286">
        <v>286</v>
      </c>
      <c r="G286" t="str">
        <f t="shared" si="41"/>
        <v>2</v>
      </c>
      <c r="H286" t="str">
        <f t="shared" si="42"/>
        <v>8</v>
      </c>
      <c r="I286" t="str">
        <f t="shared" si="43"/>
        <v>6</v>
      </c>
      <c r="K286" t="str">
        <f t="shared" si="46"/>
        <v>2</v>
      </c>
      <c r="L286" t="str">
        <f t="shared" si="47"/>
        <v>8</v>
      </c>
      <c r="M286" t="str">
        <f t="shared" si="48"/>
        <v>6</v>
      </c>
      <c r="O286" s="69">
        <f t="shared" si="40"/>
        <v>16</v>
      </c>
      <c r="P286">
        <f t="shared" si="44"/>
        <v>96</v>
      </c>
      <c r="Q286" t="str">
        <f t="shared" si="45"/>
        <v xml:space="preserve"> </v>
      </c>
    </row>
    <row r="287" spans="1:17" x14ac:dyDescent="0.25">
      <c r="A287">
        <v>0</v>
      </c>
      <c r="E287">
        <v>287</v>
      </c>
      <c r="G287" t="str">
        <f t="shared" si="41"/>
        <v>2</v>
      </c>
      <c r="H287" t="str">
        <f t="shared" si="42"/>
        <v>8</v>
      </c>
      <c r="I287" t="str">
        <f t="shared" si="43"/>
        <v>7</v>
      </c>
      <c r="K287" t="str">
        <f t="shared" si="46"/>
        <v>2</v>
      </c>
      <c r="L287" t="str">
        <f t="shared" si="47"/>
        <v>8</v>
      </c>
      <c r="M287" t="str">
        <f t="shared" si="48"/>
        <v>7</v>
      </c>
      <c r="O287" s="69">
        <f t="shared" si="40"/>
        <v>17</v>
      </c>
      <c r="P287">
        <f t="shared" si="44"/>
        <v>102</v>
      </c>
      <c r="Q287" t="str">
        <f t="shared" si="45"/>
        <v xml:space="preserve"> </v>
      </c>
    </row>
    <row r="288" spans="1:17" x14ac:dyDescent="0.25">
      <c r="A288">
        <v>0</v>
      </c>
      <c r="E288">
        <v>288</v>
      </c>
      <c r="G288" t="str">
        <f t="shared" si="41"/>
        <v>2</v>
      </c>
      <c r="H288" t="str">
        <f t="shared" si="42"/>
        <v>8</v>
      </c>
      <c r="I288" t="str">
        <f t="shared" si="43"/>
        <v>8</v>
      </c>
      <c r="K288" t="str">
        <f t="shared" si="46"/>
        <v>2</v>
      </c>
      <c r="L288" t="str">
        <f t="shared" si="47"/>
        <v>8</v>
      </c>
      <c r="M288" t="str">
        <f t="shared" si="48"/>
        <v>8</v>
      </c>
      <c r="O288" s="69">
        <f t="shared" si="40"/>
        <v>18</v>
      </c>
      <c r="P288">
        <f t="shared" si="44"/>
        <v>108</v>
      </c>
      <c r="Q288" t="str">
        <f t="shared" si="45"/>
        <v xml:space="preserve"> </v>
      </c>
    </row>
    <row r="289" spans="1:17" x14ac:dyDescent="0.25">
      <c r="A289">
        <v>0</v>
      </c>
      <c r="E289">
        <v>289</v>
      </c>
      <c r="G289" t="str">
        <f t="shared" si="41"/>
        <v>2</v>
      </c>
      <c r="H289" t="str">
        <f t="shared" si="42"/>
        <v>8</v>
      </c>
      <c r="I289" t="str">
        <f t="shared" si="43"/>
        <v>9</v>
      </c>
      <c r="K289" t="str">
        <f t="shared" si="46"/>
        <v>2</v>
      </c>
      <c r="L289" t="str">
        <f t="shared" si="47"/>
        <v>8</v>
      </c>
      <c r="M289" t="str">
        <f t="shared" si="48"/>
        <v>9</v>
      </c>
      <c r="O289" s="69">
        <f t="shared" si="40"/>
        <v>19</v>
      </c>
      <c r="P289">
        <f t="shared" si="44"/>
        <v>114</v>
      </c>
      <c r="Q289" t="str">
        <f t="shared" si="45"/>
        <v xml:space="preserve"> </v>
      </c>
    </row>
    <row r="290" spans="1:17" x14ac:dyDescent="0.25">
      <c r="A290">
        <v>0</v>
      </c>
      <c r="E290">
        <v>290</v>
      </c>
      <c r="G290" t="str">
        <f t="shared" si="41"/>
        <v>2</v>
      </c>
      <c r="H290" t="str">
        <f t="shared" si="42"/>
        <v>9</v>
      </c>
      <c r="I290" t="str">
        <f t="shared" si="43"/>
        <v>0</v>
      </c>
      <c r="K290" t="str">
        <f t="shared" si="46"/>
        <v>2</v>
      </c>
      <c r="L290" t="str">
        <f t="shared" si="47"/>
        <v>9</v>
      </c>
      <c r="M290" t="str">
        <f t="shared" si="48"/>
        <v>0</v>
      </c>
      <c r="O290" s="69">
        <f t="shared" si="40"/>
        <v>11</v>
      </c>
      <c r="P290">
        <f t="shared" si="44"/>
        <v>66</v>
      </c>
      <c r="Q290" t="str">
        <f t="shared" si="45"/>
        <v xml:space="preserve"> </v>
      </c>
    </row>
    <row r="291" spans="1:17" x14ac:dyDescent="0.25">
      <c r="A291">
        <v>0</v>
      </c>
      <c r="E291">
        <v>291</v>
      </c>
      <c r="G291" t="str">
        <f t="shared" si="41"/>
        <v>2</v>
      </c>
      <c r="H291" t="str">
        <f t="shared" si="42"/>
        <v>9</v>
      </c>
      <c r="I291" t="str">
        <f t="shared" si="43"/>
        <v>1</v>
      </c>
      <c r="K291" t="str">
        <f t="shared" si="46"/>
        <v>2</v>
      </c>
      <c r="L291" t="str">
        <f t="shared" si="47"/>
        <v>9</v>
      </c>
      <c r="M291" t="str">
        <f t="shared" si="48"/>
        <v>1</v>
      </c>
      <c r="O291" s="69">
        <f t="shared" si="40"/>
        <v>12</v>
      </c>
      <c r="P291">
        <f t="shared" si="44"/>
        <v>72</v>
      </c>
      <c r="Q291" t="str">
        <f t="shared" si="45"/>
        <v xml:space="preserve"> </v>
      </c>
    </row>
    <row r="292" spans="1:17" x14ac:dyDescent="0.25">
      <c r="A292">
        <v>0</v>
      </c>
      <c r="E292">
        <v>292</v>
      </c>
      <c r="G292" t="str">
        <f t="shared" si="41"/>
        <v>2</v>
      </c>
      <c r="H292" t="str">
        <f t="shared" si="42"/>
        <v>9</v>
      </c>
      <c r="I292" t="str">
        <f t="shared" si="43"/>
        <v>2</v>
      </c>
      <c r="K292" t="str">
        <f t="shared" si="46"/>
        <v>2</v>
      </c>
      <c r="L292" t="str">
        <f t="shared" si="47"/>
        <v>9</v>
      </c>
      <c r="M292" t="str">
        <f t="shared" si="48"/>
        <v>2</v>
      </c>
      <c r="O292" s="69">
        <f t="shared" si="40"/>
        <v>13</v>
      </c>
      <c r="P292">
        <f t="shared" si="44"/>
        <v>78</v>
      </c>
      <c r="Q292" t="str">
        <f t="shared" si="45"/>
        <v xml:space="preserve"> </v>
      </c>
    </row>
    <row r="293" spans="1:17" x14ac:dyDescent="0.25">
      <c r="A293">
        <v>0</v>
      </c>
      <c r="E293">
        <v>293</v>
      </c>
      <c r="G293" t="str">
        <f t="shared" si="41"/>
        <v>2</v>
      </c>
      <c r="H293" t="str">
        <f t="shared" si="42"/>
        <v>9</v>
      </c>
      <c r="I293" t="str">
        <f t="shared" si="43"/>
        <v>3</v>
      </c>
      <c r="K293" t="str">
        <f t="shared" si="46"/>
        <v>2</v>
      </c>
      <c r="L293" t="str">
        <f t="shared" si="47"/>
        <v>9</v>
      </c>
      <c r="M293" t="str">
        <f t="shared" si="48"/>
        <v>3</v>
      </c>
      <c r="O293" s="69">
        <f t="shared" ref="O293:O356" si="49">+K293+L293+M293</f>
        <v>14</v>
      </c>
      <c r="P293">
        <f t="shared" si="44"/>
        <v>84</v>
      </c>
      <c r="Q293" t="str">
        <f t="shared" si="45"/>
        <v xml:space="preserve"> </v>
      </c>
    </row>
    <row r="294" spans="1:17" x14ac:dyDescent="0.25">
      <c r="A294">
        <v>0</v>
      </c>
      <c r="E294">
        <v>294</v>
      </c>
      <c r="G294" t="str">
        <f t="shared" si="41"/>
        <v>2</v>
      </c>
      <c r="H294" t="str">
        <f t="shared" si="42"/>
        <v>9</v>
      </c>
      <c r="I294" t="str">
        <f t="shared" si="43"/>
        <v>4</v>
      </c>
      <c r="K294" t="str">
        <f t="shared" si="46"/>
        <v>2</v>
      </c>
      <c r="L294" t="str">
        <f t="shared" si="47"/>
        <v>9</v>
      </c>
      <c r="M294" t="str">
        <f t="shared" si="48"/>
        <v>4</v>
      </c>
      <c r="O294" s="69">
        <f t="shared" si="49"/>
        <v>15</v>
      </c>
      <c r="P294">
        <f t="shared" si="44"/>
        <v>90</v>
      </c>
      <c r="Q294" t="str">
        <f t="shared" si="45"/>
        <v xml:space="preserve"> </v>
      </c>
    </row>
    <row r="295" spans="1:17" x14ac:dyDescent="0.25">
      <c r="A295">
        <v>0</v>
      </c>
      <c r="E295">
        <v>295</v>
      </c>
      <c r="G295" t="str">
        <f t="shared" si="41"/>
        <v>2</v>
      </c>
      <c r="H295" t="str">
        <f t="shared" si="42"/>
        <v>9</v>
      </c>
      <c r="I295" t="str">
        <f t="shared" si="43"/>
        <v>5</v>
      </c>
      <c r="K295" t="str">
        <f t="shared" si="46"/>
        <v>2</v>
      </c>
      <c r="L295" t="str">
        <f t="shared" si="47"/>
        <v>9</v>
      </c>
      <c r="M295" t="str">
        <f t="shared" si="48"/>
        <v>5</v>
      </c>
      <c r="O295" s="69">
        <f t="shared" si="49"/>
        <v>16</v>
      </c>
      <c r="P295">
        <f t="shared" si="44"/>
        <v>96</v>
      </c>
      <c r="Q295" t="str">
        <f t="shared" si="45"/>
        <v xml:space="preserve"> </v>
      </c>
    </row>
    <row r="296" spans="1:17" x14ac:dyDescent="0.25">
      <c r="A296">
        <v>0</v>
      </c>
      <c r="E296">
        <v>296</v>
      </c>
      <c r="G296" t="str">
        <f t="shared" si="41"/>
        <v>2</v>
      </c>
      <c r="H296" t="str">
        <f t="shared" si="42"/>
        <v>9</v>
      </c>
      <c r="I296" t="str">
        <f t="shared" si="43"/>
        <v>6</v>
      </c>
      <c r="K296" t="str">
        <f t="shared" si="46"/>
        <v>2</v>
      </c>
      <c r="L296" t="str">
        <f t="shared" si="47"/>
        <v>9</v>
      </c>
      <c r="M296" t="str">
        <f t="shared" si="48"/>
        <v>6</v>
      </c>
      <c r="O296" s="69">
        <f t="shared" si="49"/>
        <v>17</v>
      </c>
      <c r="P296">
        <f t="shared" si="44"/>
        <v>102</v>
      </c>
      <c r="Q296" t="str">
        <f t="shared" si="45"/>
        <v xml:space="preserve"> </v>
      </c>
    </row>
    <row r="297" spans="1:17" x14ac:dyDescent="0.25">
      <c r="A297">
        <v>0</v>
      </c>
      <c r="E297">
        <v>297</v>
      </c>
      <c r="G297" t="str">
        <f t="shared" si="41"/>
        <v>2</v>
      </c>
      <c r="H297" t="str">
        <f t="shared" si="42"/>
        <v>9</v>
      </c>
      <c r="I297" t="str">
        <f t="shared" si="43"/>
        <v>7</v>
      </c>
      <c r="K297" t="str">
        <f t="shared" si="46"/>
        <v>2</v>
      </c>
      <c r="L297" t="str">
        <f t="shared" si="47"/>
        <v>9</v>
      </c>
      <c r="M297" t="str">
        <f t="shared" si="48"/>
        <v>7</v>
      </c>
      <c r="O297" s="69">
        <f t="shared" si="49"/>
        <v>18</v>
      </c>
      <c r="P297">
        <f t="shared" si="44"/>
        <v>108</v>
      </c>
      <c r="Q297" t="str">
        <f t="shared" si="45"/>
        <v xml:space="preserve"> </v>
      </c>
    </row>
    <row r="298" spans="1:17" x14ac:dyDescent="0.25">
      <c r="A298">
        <v>0</v>
      </c>
      <c r="E298">
        <v>298</v>
      </c>
      <c r="G298" t="str">
        <f t="shared" si="41"/>
        <v>2</v>
      </c>
      <c r="H298" t="str">
        <f t="shared" si="42"/>
        <v>9</v>
      </c>
      <c r="I298" t="str">
        <f t="shared" si="43"/>
        <v>8</v>
      </c>
      <c r="K298" t="str">
        <f t="shared" si="46"/>
        <v>2</v>
      </c>
      <c r="L298" t="str">
        <f t="shared" si="47"/>
        <v>9</v>
      </c>
      <c r="M298" t="str">
        <f t="shared" si="48"/>
        <v>8</v>
      </c>
      <c r="O298" s="69">
        <f t="shared" si="49"/>
        <v>19</v>
      </c>
      <c r="P298">
        <f t="shared" si="44"/>
        <v>114</v>
      </c>
      <c r="Q298" t="str">
        <f t="shared" si="45"/>
        <v xml:space="preserve"> </v>
      </c>
    </row>
    <row r="299" spans="1:17" x14ac:dyDescent="0.25">
      <c r="A299">
        <v>0</v>
      </c>
      <c r="E299">
        <v>299</v>
      </c>
      <c r="G299" t="str">
        <f t="shared" si="41"/>
        <v>2</v>
      </c>
      <c r="H299" t="str">
        <f t="shared" si="42"/>
        <v>9</v>
      </c>
      <c r="I299" t="str">
        <f t="shared" si="43"/>
        <v>9</v>
      </c>
      <c r="K299" t="str">
        <f t="shared" si="46"/>
        <v>2</v>
      </c>
      <c r="L299" t="str">
        <f t="shared" si="47"/>
        <v>9</v>
      </c>
      <c r="M299" t="str">
        <f t="shared" si="48"/>
        <v>9</v>
      </c>
      <c r="O299" s="69">
        <f t="shared" si="49"/>
        <v>20</v>
      </c>
      <c r="P299">
        <f t="shared" si="44"/>
        <v>120</v>
      </c>
      <c r="Q299" t="str">
        <f t="shared" si="45"/>
        <v xml:space="preserve"> </v>
      </c>
    </row>
    <row r="300" spans="1:17" x14ac:dyDescent="0.25">
      <c r="A300">
        <v>0</v>
      </c>
      <c r="E300">
        <v>300</v>
      </c>
      <c r="G300" t="str">
        <f t="shared" si="41"/>
        <v>3</v>
      </c>
      <c r="H300" t="str">
        <f t="shared" si="42"/>
        <v>0</v>
      </c>
      <c r="I300" t="str">
        <f t="shared" si="43"/>
        <v>0</v>
      </c>
      <c r="K300" t="str">
        <f t="shared" si="46"/>
        <v>3</v>
      </c>
      <c r="L300" t="str">
        <f t="shared" si="47"/>
        <v>0</v>
      </c>
      <c r="M300" t="str">
        <f t="shared" si="48"/>
        <v>0</v>
      </c>
      <c r="O300" s="69">
        <f t="shared" si="49"/>
        <v>3</v>
      </c>
      <c r="P300">
        <f t="shared" si="44"/>
        <v>18</v>
      </c>
      <c r="Q300" t="str">
        <f t="shared" si="45"/>
        <v xml:space="preserve"> </v>
      </c>
    </row>
    <row r="301" spans="1:17" x14ac:dyDescent="0.25">
      <c r="A301">
        <v>0</v>
      </c>
      <c r="E301">
        <v>301</v>
      </c>
      <c r="G301" t="str">
        <f t="shared" si="41"/>
        <v>3</v>
      </c>
      <c r="H301" t="str">
        <f t="shared" si="42"/>
        <v>0</v>
      </c>
      <c r="I301" t="str">
        <f t="shared" si="43"/>
        <v>1</v>
      </c>
      <c r="K301" t="str">
        <f t="shared" si="46"/>
        <v>3</v>
      </c>
      <c r="L301" t="str">
        <f t="shared" si="47"/>
        <v>0</v>
      </c>
      <c r="M301" t="str">
        <f t="shared" si="48"/>
        <v>1</v>
      </c>
      <c r="O301" s="69">
        <f t="shared" si="49"/>
        <v>4</v>
      </c>
      <c r="P301">
        <f t="shared" si="44"/>
        <v>24</v>
      </c>
      <c r="Q301" t="str">
        <f t="shared" si="45"/>
        <v xml:space="preserve"> </v>
      </c>
    </row>
    <row r="302" spans="1:17" x14ac:dyDescent="0.25">
      <c r="A302">
        <v>0</v>
      </c>
      <c r="E302">
        <v>302</v>
      </c>
      <c r="G302" t="str">
        <f t="shared" si="41"/>
        <v>3</v>
      </c>
      <c r="H302" t="str">
        <f t="shared" si="42"/>
        <v>0</v>
      </c>
      <c r="I302" t="str">
        <f t="shared" si="43"/>
        <v>2</v>
      </c>
      <c r="K302" t="str">
        <f t="shared" si="46"/>
        <v>3</v>
      </c>
      <c r="L302" t="str">
        <f t="shared" si="47"/>
        <v>0</v>
      </c>
      <c r="M302" t="str">
        <f t="shared" si="48"/>
        <v>2</v>
      </c>
      <c r="O302" s="69">
        <f t="shared" si="49"/>
        <v>5</v>
      </c>
      <c r="P302">
        <f t="shared" si="44"/>
        <v>30</v>
      </c>
      <c r="Q302" t="str">
        <f t="shared" si="45"/>
        <v xml:space="preserve"> </v>
      </c>
    </row>
    <row r="303" spans="1:17" x14ac:dyDescent="0.25">
      <c r="A303">
        <v>0</v>
      </c>
      <c r="E303">
        <v>303</v>
      </c>
      <c r="G303" t="str">
        <f t="shared" si="41"/>
        <v>3</v>
      </c>
      <c r="H303" t="str">
        <f t="shared" si="42"/>
        <v>0</v>
      </c>
      <c r="I303" t="str">
        <f t="shared" si="43"/>
        <v>3</v>
      </c>
      <c r="K303" t="str">
        <f t="shared" si="46"/>
        <v>3</v>
      </c>
      <c r="L303" t="str">
        <f t="shared" si="47"/>
        <v>0</v>
      </c>
      <c r="M303" t="str">
        <f t="shared" si="48"/>
        <v>3</v>
      </c>
      <c r="O303" s="69">
        <f t="shared" si="49"/>
        <v>6</v>
      </c>
      <c r="P303">
        <f t="shared" si="44"/>
        <v>36</v>
      </c>
      <c r="Q303" t="str">
        <f t="shared" si="45"/>
        <v xml:space="preserve"> </v>
      </c>
    </row>
    <row r="304" spans="1:17" x14ac:dyDescent="0.25">
      <c r="A304">
        <v>0</v>
      </c>
      <c r="E304">
        <v>304</v>
      </c>
      <c r="G304" t="str">
        <f t="shared" si="41"/>
        <v>3</v>
      </c>
      <c r="H304" t="str">
        <f t="shared" si="42"/>
        <v>0</v>
      </c>
      <c r="I304" t="str">
        <f t="shared" si="43"/>
        <v>4</v>
      </c>
      <c r="K304" t="str">
        <f t="shared" si="46"/>
        <v>3</v>
      </c>
      <c r="L304" t="str">
        <f t="shared" si="47"/>
        <v>0</v>
      </c>
      <c r="M304" t="str">
        <f t="shared" si="48"/>
        <v>4</v>
      </c>
      <c r="O304" s="69">
        <f t="shared" si="49"/>
        <v>7</v>
      </c>
      <c r="P304">
        <f t="shared" si="44"/>
        <v>42</v>
      </c>
      <c r="Q304" t="str">
        <f t="shared" si="45"/>
        <v xml:space="preserve"> </v>
      </c>
    </row>
    <row r="305" spans="1:17" x14ac:dyDescent="0.25">
      <c r="A305">
        <v>0</v>
      </c>
      <c r="E305">
        <v>305</v>
      </c>
      <c r="G305" t="str">
        <f t="shared" si="41"/>
        <v>3</v>
      </c>
      <c r="H305" t="str">
        <f t="shared" si="42"/>
        <v>0</v>
      </c>
      <c r="I305" t="str">
        <f t="shared" si="43"/>
        <v>5</v>
      </c>
      <c r="K305" t="str">
        <f t="shared" si="46"/>
        <v>3</v>
      </c>
      <c r="L305" t="str">
        <f t="shared" si="47"/>
        <v>0</v>
      </c>
      <c r="M305" t="str">
        <f t="shared" si="48"/>
        <v>5</v>
      </c>
      <c r="O305" s="69">
        <f t="shared" si="49"/>
        <v>8</v>
      </c>
      <c r="P305">
        <f t="shared" si="44"/>
        <v>48</v>
      </c>
      <c r="Q305" t="str">
        <f t="shared" si="45"/>
        <v xml:space="preserve"> </v>
      </c>
    </row>
    <row r="306" spans="1:17" x14ac:dyDescent="0.25">
      <c r="A306">
        <v>0</v>
      </c>
      <c r="E306">
        <v>306</v>
      </c>
      <c r="G306" t="str">
        <f t="shared" si="41"/>
        <v>3</v>
      </c>
      <c r="H306" t="str">
        <f t="shared" si="42"/>
        <v>0</v>
      </c>
      <c r="I306" t="str">
        <f t="shared" si="43"/>
        <v>6</v>
      </c>
      <c r="K306" t="str">
        <f t="shared" si="46"/>
        <v>3</v>
      </c>
      <c r="L306" t="str">
        <f t="shared" si="47"/>
        <v>0</v>
      </c>
      <c r="M306" t="str">
        <f t="shared" si="48"/>
        <v>6</v>
      </c>
      <c r="O306" s="69">
        <f t="shared" si="49"/>
        <v>9</v>
      </c>
      <c r="P306">
        <f t="shared" si="44"/>
        <v>54</v>
      </c>
      <c r="Q306" t="str">
        <f t="shared" si="45"/>
        <v xml:space="preserve"> </v>
      </c>
    </row>
    <row r="307" spans="1:17" x14ac:dyDescent="0.25">
      <c r="A307">
        <v>0</v>
      </c>
      <c r="E307">
        <v>307</v>
      </c>
      <c r="G307" t="str">
        <f t="shared" si="41"/>
        <v>3</v>
      </c>
      <c r="H307" t="str">
        <f t="shared" si="42"/>
        <v>0</v>
      </c>
      <c r="I307" t="str">
        <f t="shared" si="43"/>
        <v>7</v>
      </c>
      <c r="K307" t="str">
        <f t="shared" si="46"/>
        <v>3</v>
      </c>
      <c r="L307" t="str">
        <f t="shared" si="47"/>
        <v>0</v>
      </c>
      <c r="M307" t="str">
        <f t="shared" si="48"/>
        <v>7</v>
      </c>
      <c r="O307" s="69">
        <f t="shared" si="49"/>
        <v>10</v>
      </c>
      <c r="P307">
        <f t="shared" si="44"/>
        <v>60</v>
      </c>
      <c r="Q307" t="str">
        <f t="shared" si="45"/>
        <v xml:space="preserve"> </v>
      </c>
    </row>
    <row r="308" spans="1:17" x14ac:dyDescent="0.25">
      <c r="A308">
        <v>0</v>
      </c>
      <c r="E308">
        <v>308</v>
      </c>
      <c r="G308" t="str">
        <f t="shared" si="41"/>
        <v>3</v>
      </c>
      <c r="H308" t="str">
        <f t="shared" si="42"/>
        <v>0</v>
      </c>
      <c r="I308" t="str">
        <f t="shared" si="43"/>
        <v>8</v>
      </c>
      <c r="K308" t="str">
        <f t="shared" si="46"/>
        <v>3</v>
      </c>
      <c r="L308" t="str">
        <f t="shared" si="47"/>
        <v>0</v>
      </c>
      <c r="M308" t="str">
        <f t="shared" si="48"/>
        <v>8</v>
      </c>
      <c r="O308" s="69">
        <f t="shared" si="49"/>
        <v>11</v>
      </c>
      <c r="P308">
        <f t="shared" si="44"/>
        <v>66</v>
      </c>
      <c r="Q308" t="str">
        <f t="shared" si="45"/>
        <v xml:space="preserve"> </v>
      </c>
    </row>
    <row r="309" spans="1:17" x14ac:dyDescent="0.25">
      <c r="A309">
        <v>0</v>
      </c>
      <c r="E309">
        <v>309</v>
      </c>
      <c r="G309" t="str">
        <f t="shared" si="41"/>
        <v>3</v>
      </c>
      <c r="H309" t="str">
        <f t="shared" si="42"/>
        <v>0</v>
      </c>
      <c r="I309" t="str">
        <f t="shared" si="43"/>
        <v>9</v>
      </c>
      <c r="K309" t="str">
        <f t="shared" si="46"/>
        <v>3</v>
      </c>
      <c r="L309" t="str">
        <f t="shared" si="47"/>
        <v>0</v>
      </c>
      <c r="M309" t="str">
        <f t="shared" si="48"/>
        <v>9</v>
      </c>
      <c r="O309" s="69">
        <f t="shared" si="49"/>
        <v>12</v>
      </c>
      <c r="P309">
        <f t="shared" si="44"/>
        <v>72</v>
      </c>
      <c r="Q309" t="str">
        <f t="shared" si="45"/>
        <v xml:space="preserve"> </v>
      </c>
    </row>
    <row r="310" spans="1:17" x14ac:dyDescent="0.25">
      <c r="A310">
        <v>0</v>
      </c>
      <c r="E310">
        <v>310</v>
      </c>
      <c r="G310" t="str">
        <f t="shared" si="41"/>
        <v>3</v>
      </c>
      <c r="H310" t="str">
        <f t="shared" si="42"/>
        <v>1</v>
      </c>
      <c r="I310" t="str">
        <f t="shared" si="43"/>
        <v>0</v>
      </c>
      <c r="K310" t="str">
        <f t="shared" si="46"/>
        <v>3</v>
      </c>
      <c r="L310" t="str">
        <f t="shared" si="47"/>
        <v>1</v>
      </c>
      <c r="M310" t="str">
        <f t="shared" si="48"/>
        <v>0</v>
      </c>
      <c r="O310" s="69">
        <f t="shared" si="49"/>
        <v>4</v>
      </c>
      <c r="P310">
        <f t="shared" si="44"/>
        <v>24</v>
      </c>
      <c r="Q310" t="str">
        <f t="shared" si="45"/>
        <v xml:space="preserve"> </v>
      </c>
    </row>
    <row r="311" spans="1:17" x14ac:dyDescent="0.25">
      <c r="A311">
        <v>0</v>
      </c>
      <c r="E311">
        <v>311</v>
      </c>
      <c r="G311" t="str">
        <f t="shared" si="41"/>
        <v>3</v>
      </c>
      <c r="H311" t="str">
        <f t="shared" si="42"/>
        <v>1</v>
      </c>
      <c r="I311" t="str">
        <f t="shared" si="43"/>
        <v>1</v>
      </c>
      <c r="K311" t="str">
        <f t="shared" si="46"/>
        <v>3</v>
      </c>
      <c r="L311" t="str">
        <f t="shared" si="47"/>
        <v>1</v>
      </c>
      <c r="M311" t="str">
        <f t="shared" si="48"/>
        <v>1</v>
      </c>
      <c r="O311" s="69">
        <f t="shared" si="49"/>
        <v>5</v>
      </c>
      <c r="P311">
        <f t="shared" si="44"/>
        <v>30</v>
      </c>
      <c r="Q311" t="str">
        <f t="shared" si="45"/>
        <v xml:space="preserve"> </v>
      </c>
    </row>
    <row r="312" spans="1:17" x14ac:dyDescent="0.25">
      <c r="A312">
        <v>0</v>
      </c>
      <c r="E312">
        <v>312</v>
      </c>
      <c r="G312" t="str">
        <f t="shared" si="41"/>
        <v>3</v>
      </c>
      <c r="H312" t="str">
        <f t="shared" si="42"/>
        <v>1</v>
      </c>
      <c r="I312" t="str">
        <f t="shared" si="43"/>
        <v>2</v>
      </c>
      <c r="K312" t="str">
        <f t="shared" si="46"/>
        <v>3</v>
      </c>
      <c r="L312" t="str">
        <f t="shared" si="47"/>
        <v>1</v>
      </c>
      <c r="M312" t="str">
        <f t="shared" si="48"/>
        <v>2</v>
      </c>
      <c r="O312" s="69">
        <f t="shared" si="49"/>
        <v>6</v>
      </c>
      <c r="P312">
        <f t="shared" si="44"/>
        <v>36</v>
      </c>
      <c r="Q312" t="str">
        <f t="shared" si="45"/>
        <v xml:space="preserve"> </v>
      </c>
    </row>
    <row r="313" spans="1:17" x14ac:dyDescent="0.25">
      <c r="A313">
        <v>0</v>
      </c>
      <c r="E313">
        <v>313</v>
      </c>
      <c r="G313" t="str">
        <f t="shared" si="41"/>
        <v>3</v>
      </c>
      <c r="H313" t="str">
        <f t="shared" si="42"/>
        <v>1</v>
      </c>
      <c r="I313" t="str">
        <f t="shared" si="43"/>
        <v>3</v>
      </c>
      <c r="K313" t="str">
        <f t="shared" si="46"/>
        <v>3</v>
      </c>
      <c r="L313" t="str">
        <f t="shared" si="47"/>
        <v>1</v>
      </c>
      <c r="M313" t="str">
        <f t="shared" si="48"/>
        <v>3</v>
      </c>
      <c r="O313" s="69">
        <f t="shared" si="49"/>
        <v>7</v>
      </c>
      <c r="P313">
        <f t="shared" si="44"/>
        <v>42</v>
      </c>
      <c r="Q313" t="str">
        <f t="shared" si="45"/>
        <v xml:space="preserve"> </v>
      </c>
    </row>
    <row r="314" spans="1:17" x14ac:dyDescent="0.25">
      <c r="A314">
        <v>0</v>
      </c>
      <c r="E314">
        <v>314</v>
      </c>
      <c r="G314" t="str">
        <f t="shared" si="41"/>
        <v>3</v>
      </c>
      <c r="H314" t="str">
        <f t="shared" si="42"/>
        <v>1</v>
      </c>
      <c r="I314" t="str">
        <f t="shared" si="43"/>
        <v>4</v>
      </c>
      <c r="K314" t="str">
        <f t="shared" si="46"/>
        <v>3</v>
      </c>
      <c r="L314" t="str">
        <f t="shared" si="47"/>
        <v>1</v>
      </c>
      <c r="M314" t="str">
        <f t="shared" si="48"/>
        <v>4</v>
      </c>
      <c r="O314" s="69">
        <f t="shared" si="49"/>
        <v>8</v>
      </c>
      <c r="P314">
        <f t="shared" si="44"/>
        <v>48</v>
      </c>
      <c r="Q314" t="str">
        <f t="shared" si="45"/>
        <v xml:space="preserve"> </v>
      </c>
    </row>
    <row r="315" spans="1:17" x14ac:dyDescent="0.25">
      <c r="A315">
        <v>0</v>
      </c>
      <c r="E315">
        <v>315</v>
      </c>
      <c r="G315" t="str">
        <f t="shared" si="41"/>
        <v>3</v>
      </c>
      <c r="H315" t="str">
        <f t="shared" si="42"/>
        <v>1</v>
      </c>
      <c r="I315" t="str">
        <f t="shared" si="43"/>
        <v>5</v>
      </c>
      <c r="K315" t="str">
        <f t="shared" si="46"/>
        <v>3</v>
      </c>
      <c r="L315" t="str">
        <f t="shared" si="47"/>
        <v>1</v>
      </c>
      <c r="M315" t="str">
        <f t="shared" si="48"/>
        <v>5</v>
      </c>
      <c r="O315" s="69">
        <f t="shared" si="49"/>
        <v>9</v>
      </c>
      <c r="P315">
        <f t="shared" si="44"/>
        <v>54</v>
      </c>
      <c r="Q315" t="str">
        <f t="shared" si="45"/>
        <v xml:space="preserve"> </v>
      </c>
    </row>
    <row r="316" spans="1:17" x14ac:dyDescent="0.25">
      <c r="A316">
        <v>0</v>
      </c>
      <c r="E316">
        <v>316</v>
      </c>
      <c r="G316" t="str">
        <f t="shared" si="41"/>
        <v>3</v>
      </c>
      <c r="H316" t="str">
        <f t="shared" si="42"/>
        <v>1</v>
      </c>
      <c r="I316" t="str">
        <f t="shared" si="43"/>
        <v>6</v>
      </c>
      <c r="K316" t="str">
        <f t="shared" si="46"/>
        <v>3</v>
      </c>
      <c r="L316" t="str">
        <f t="shared" si="47"/>
        <v>1</v>
      </c>
      <c r="M316" t="str">
        <f t="shared" si="48"/>
        <v>6</v>
      </c>
      <c r="O316" s="69">
        <f t="shared" si="49"/>
        <v>10</v>
      </c>
      <c r="P316">
        <f t="shared" si="44"/>
        <v>60</v>
      </c>
      <c r="Q316" t="str">
        <f t="shared" si="45"/>
        <v xml:space="preserve"> </v>
      </c>
    </row>
    <row r="317" spans="1:17" x14ac:dyDescent="0.25">
      <c r="A317">
        <v>0</v>
      </c>
      <c r="E317">
        <v>317</v>
      </c>
      <c r="G317" t="str">
        <f t="shared" si="41"/>
        <v>3</v>
      </c>
      <c r="H317" t="str">
        <f t="shared" si="42"/>
        <v>1</v>
      </c>
      <c r="I317" t="str">
        <f t="shared" si="43"/>
        <v>7</v>
      </c>
      <c r="K317" t="str">
        <f t="shared" si="46"/>
        <v>3</v>
      </c>
      <c r="L317" t="str">
        <f t="shared" si="47"/>
        <v>1</v>
      </c>
      <c r="M317" t="str">
        <f t="shared" si="48"/>
        <v>7</v>
      </c>
      <c r="O317" s="69">
        <f t="shared" si="49"/>
        <v>11</v>
      </c>
      <c r="P317">
        <f t="shared" si="44"/>
        <v>66</v>
      </c>
      <c r="Q317" t="str">
        <f t="shared" si="45"/>
        <v xml:space="preserve"> </v>
      </c>
    </row>
    <row r="318" spans="1:17" x14ac:dyDescent="0.25">
      <c r="A318">
        <v>0</v>
      </c>
      <c r="E318">
        <v>318</v>
      </c>
      <c r="G318" t="str">
        <f t="shared" si="41"/>
        <v>3</v>
      </c>
      <c r="H318" t="str">
        <f t="shared" si="42"/>
        <v>1</v>
      </c>
      <c r="I318" t="str">
        <f t="shared" si="43"/>
        <v>8</v>
      </c>
      <c r="K318" t="str">
        <f t="shared" si="46"/>
        <v>3</v>
      </c>
      <c r="L318" t="str">
        <f t="shared" si="47"/>
        <v>1</v>
      </c>
      <c r="M318" t="str">
        <f t="shared" si="48"/>
        <v>8</v>
      </c>
      <c r="O318" s="69">
        <f t="shared" si="49"/>
        <v>12</v>
      </c>
      <c r="P318">
        <f t="shared" si="44"/>
        <v>72</v>
      </c>
      <c r="Q318" t="str">
        <f t="shared" si="45"/>
        <v xml:space="preserve"> </v>
      </c>
    </row>
    <row r="319" spans="1:17" x14ac:dyDescent="0.25">
      <c r="A319">
        <v>0</v>
      </c>
      <c r="E319">
        <v>319</v>
      </c>
      <c r="G319" t="str">
        <f t="shared" si="41"/>
        <v>3</v>
      </c>
      <c r="H319" t="str">
        <f t="shared" si="42"/>
        <v>1</v>
      </c>
      <c r="I319" t="str">
        <f t="shared" si="43"/>
        <v>9</v>
      </c>
      <c r="K319" t="str">
        <f t="shared" si="46"/>
        <v>3</v>
      </c>
      <c r="L319" t="str">
        <f t="shared" si="47"/>
        <v>1</v>
      </c>
      <c r="M319" t="str">
        <f t="shared" si="48"/>
        <v>9</v>
      </c>
      <c r="O319" s="69">
        <f t="shared" si="49"/>
        <v>13</v>
      </c>
      <c r="P319">
        <f t="shared" si="44"/>
        <v>78</v>
      </c>
      <c r="Q319" t="str">
        <f t="shared" si="45"/>
        <v xml:space="preserve"> </v>
      </c>
    </row>
    <row r="320" spans="1:17" x14ac:dyDescent="0.25">
      <c r="A320">
        <v>0</v>
      </c>
      <c r="E320">
        <v>320</v>
      </c>
      <c r="G320" t="str">
        <f t="shared" si="41"/>
        <v>3</v>
      </c>
      <c r="H320" t="str">
        <f t="shared" si="42"/>
        <v>2</v>
      </c>
      <c r="I320" t="str">
        <f t="shared" si="43"/>
        <v>0</v>
      </c>
      <c r="K320" t="str">
        <f t="shared" si="46"/>
        <v>3</v>
      </c>
      <c r="L320" t="str">
        <f t="shared" si="47"/>
        <v>2</v>
      </c>
      <c r="M320" t="str">
        <f t="shared" si="48"/>
        <v>0</v>
      </c>
      <c r="O320" s="69">
        <f t="shared" si="49"/>
        <v>5</v>
      </c>
      <c r="P320">
        <f t="shared" si="44"/>
        <v>30</v>
      </c>
      <c r="Q320" t="str">
        <f t="shared" si="45"/>
        <v xml:space="preserve"> </v>
      </c>
    </row>
    <row r="321" spans="1:17" x14ac:dyDescent="0.25">
      <c r="A321">
        <v>0</v>
      </c>
      <c r="E321">
        <v>321</v>
      </c>
      <c r="G321" t="str">
        <f t="shared" si="41"/>
        <v>3</v>
      </c>
      <c r="H321" t="str">
        <f t="shared" si="42"/>
        <v>2</v>
      </c>
      <c r="I321" t="str">
        <f t="shared" si="43"/>
        <v>1</v>
      </c>
      <c r="K321" t="str">
        <f t="shared" si="46"/>
        <v>3</v>
      </c>
      <c r="L321" t="str">
        <f t="shared" si="47"/>
        <v>2</v>
      </c>
      <c r="M321" t="str">
        <f t="shared" si="48"/>
        <v>1</v>
      </c>
      <c r="O321" s="69">
        <f t="shared" si="49"/>
        <v>6</v>
      </c>
      <c r="P321">
        <f t="shared" si="44"/>
        <v>36</v>
      </c>
      <c r="Q321" t="str">
        <f t="shared" si="45"/>
        <v xml:space="preserve"> </v>
      </c>
    </row>
    <row r="322" spans="1:17" x14ac:dyDescent="0.25">
      <c r="A322">
        <v>0</v>
      </c>
      <c r="E322">
        <v>322</v>
      </c>
      <c r="G322" t="str">
        <f t="shared" ref="G322:G385" si="50">+MID(E322,1,1)</f>
        <v>3</v>
      </c>
      <c r="H322" t="str">
        <f t="shared" ref="H322:H385" si="51">+MID(E322,2,1)</f>
        <v>2</v>
      </c>
      <c r="I322" t="str">
        <f t="shared" ref="I322:I385" si="52">+MID(E322,3,1)</f>
        <v>2</v>
      </c>
      <c r="K322" t="str">
        <f t="shared" si="46"/>
        <v>3</v>
      </c>
      <c r="L322" t="str">
        <f t="shared" si="47"/>
        <v>2</v>
      </c>
      <c r="M322" t="str">
        <f t="shared" si="48"/>
        <v>2</v>
      </c>
      <c r="O322" s="69">
        <f t="shared" si="49"/>
        <v>7</v>
      </c>
      <c r="P322">
        <f t="shared" ref="P322:P385" si="53">+O322*6</f>
        <v>42</v>
      </c>
      <c r="Q322" t="str">
        <f t="shared" ref="Q322:Q385" si="54">+IF(P322=E322,"OK"," ")</f>
        <v xml:space="preserve"> </v>
      </c>
    </row>
    <row r="323" spans="1:17" x14ac:dyDescent="0.25">
      <c r="A323">
        <v>0</v>
      </c>
      <c r="E323">
        <v>323</v>
      </c>
      <c r="G323" t="str">
        <f t="shared" si="50"/>
        <v>3</v>
      </c>
      <c r="H323" t="str">
        <f t="shared" si="51"/>
        <v>2</v>
      </c>
      <c r="I323" t="str">
        <f t="shared" si="52"/>
        <v>3</v>
      </c>
      <c r="K323" t="str">
        <f t="shared" si="46"/>
        <v>3</v>
      </c>
      <c r="L323" t="str">
        <f t="shared" si="47"/>
        <v>2</v>
      </c>
      <c r="M323" t="str">
        <f t="shared" si="48"/>
        <v>3</v>
      </c>
      <c r="O323" s="69">
        <f t="shared" si="49"/>
        <v>8</v>
      </c>
      <c r="P323">
        <f t="shared" si="53"/>
        <v>48</v>
      </c>
      <c r="Q323" t="str">
        <f t="shared" si="54"/>
        <v xml:space="preserve"> </v>
      </c>
    </row>
    <row r="324" spans="1:17" x14ac:dyDescent="0.25">
      <c r="A324">
        <v>0</v>
      </c>
      <c r="E324">
        <v>324</v>
      </c>
      <c r="G324" t="str">
        <f t="shared" si="50"/>
        <v>3</v>
      </c>
      <c r="H324" t="str">
        <f t="shared" si="51"/>
        <v>2</v>
      </c>
      <c r="I324" t="str">
        <f t="shared" si="52"/>
        <v>4</v>
      </c>
      <c r="K324" t="str">
        <f t="shared" si="46"/>
        <v>3</v>
      </c>
      <c r="L324" t="str">
        <f t="shared" si="47"/>
        <v>2</v>
      </c>
      <c r="M324" t="str">
        <f t="shared" si="48"/>
        <v>4</v>
      </c>
      <c r="O324" s="69">
        <f t="shared" si="49"/>
        <v>9</v>
      </c>
      <c r="P324">
        <f t="shared" si="53"/>
        <v>54</v>
      </c>
      <c r="Q324" t="str">
        <f t="shared" si="54"/>
        <v xml:space="preserve"> </v>
      </c>
    </row>
    <row r="325" spans="1:17" x14ac:dyDescent="0.25">
      <c r="A325">
        <v>0</v>
      </c>
      <c r="E325">
        <v>325</v>
      </c>
      <c r="G325" t="str">
        <f t="shared" si="50"/>
        <v>3</v>
      </c>
      <c r="H325" t="str">
        <f t="shared" si="51"/>
        <v>2</v>
      </c>
      <c r="I325" t="str">
        <f t="shared" si="52"/>
        <v>5</v>
      </c>
      <c r="K325" t="str">
        <f t="shared" si="46"/>
        <v>3</v>
      </c>
      <c r="L325" t="str">
        <f t="shared" si="47"/>
        <v>2</v>
      </c>
      <c r="M325" t="str">
        <f t="shared" si="48"/>
        <v>5</v>
      </c>
      <c r="O325" s="69">
        <f t="shared" si="49"/>
        <v>10</v>
      </c>
      <c r="P325">
        <f t="shared" si="53"/>
        <v>60</v>
      </c>
      <c r="Q325" t="str">
        <f t="shared" si="54"/>
        <v xml:space="preserve"> </v>
      </c>
    </row>
    <row r="326" spans="1:17" x14ac:dyDescent="0.25">
      <c r="A326">
        <v>0</v>
      </c>
      <c r="E326">
        <v>326</v>
      </c>
      <c r="G326" t="str">
        <f t="shared" si="50"/>
        <v>3</v>
      </c>
      <c r="H326" t="str">
        <f t="shared" si="51"/>
        <v>2</v>
      </c>
      <c r="I326" t="str">
        <f t="shared" si="52"/>
        <v>6</v>
      </c>
      <c r="K326" t="str">
        <f t="shared" si="46"/>
        <v>3</v>
      </c>
      <c r="L326" t="str">
        <f t="shared" si="47"/>
        <v>2</v>
      </c>
      <c r="M326" t="str">
        <f t="shared" si="48"/>
        <v>6</v>
      </c>
      <c r="O326" s="69">
        <f t="shared" si="49"/>
        <v>11</v>
      </c>
      <c r="P326">
        <f t="shared" si="53"/>
        <v>66</v>
      </c>
      <c r="Q326" t="str">
        <f t="shared" si="54"/>
        <v xml:space="preserve"> </v>
      </c>
    </row>
    <row r="327" spans="1:17" x14ac:dyDescent="0.25">
      <c r="A327">
        <v>0</v>
      </c>
      <c r="E327">
        <v>327</v>
      </c>
      <c r="G327" t="str">
        <f t="shared" si="50"/>
        <v>3</v>
      </c>
      <c r="H327" t="str">
        <f t="shared" si="51"/>
        <v>2</v>
      </c>
      <c r="I327" t="str">
        <f t="shared" si="52"/>
        <v>7</v>
      </c>
      <c r="K327" t="str">
        <f t="shared" si="46"/>
        <v>3</v>
      </c>
      <c r="L327" t="str">
        <f t="shared" si="47"/>
        <v>2</v>
      </c>
      <c r="M327" t="str">
        <f t="shared" si="48"/>
        <v>7</v>
      </c>
      <c r="O327" s="69">
        <f t="shared" si="49"/>
        <v>12</v>
      </c>
      <c r="P327">
        <f t="shared" si="53"/>
        <v>72</v>
      </c>
      <c r="Q327" t="str">
        <f t="shared" si="54"/>
        <v xml:space="preserve"> </v>
      </c>
    </row>
    <row r="328" spans="1:17" x14ac:dyDescent="0.25">
      <c r="A328">
        <v>0</v>
      </c>
      <c r="E328">
        <v>328</v>
      </c>
      <c r="G328" t="str">
        <f t="shared" si="50"/>
        <v>3</v>
      </c>
      <c r="H328" t="str">
        <f t="shared" si="51"/>
        <v>2</v>
      </c>
      <c r="I328" t="str">
        <f t="shared" si="52"/>
        <v>8</v>
      </c>
      <c r="K328" t="str">
        <f t="shared" si="46"/>
        <v>3</v>
      </c>
      <c r="L328" t="str">
        <f t="shared" si="47"/>
        <v>2</v>
      </c>
      <c r="M328" t="str">
        <f t="shared" si="48"/>
        <v>8</v>
      </c>
      <c r="O328" s="69">
        <f t="shared" si="49"/>
        <v>13</v>
      </c>
      <c r="P328">
        <f t="shared" si="53"/>
        <v>78</v>
      </c>
      <c r="Q328" t="str">
        <f t="shared" si="54"/>
        <v xml:space="preserve"> </v>
      </c>
    </row>
    <row r="329" spans="1:17" x14ac:dyDescent="0.25">
      <c r="A329">
        <v>0</v>
      </c>
      <c r="E329">
        <v>329</v>
      </c>
      <c r="G329" t="str">
        <f t="shared" si="50"/>
        <v>3</v>
      </c>
      <c r="H329" t="str">
        <f t="shared" si="51"/>
        <v>2</v>
      </c>
      <c r="I329" t="str">
        <f t="shared" si="52"/>
        <v>9</v>
      </c>
      <c r="K329" t="str">
        <f t="shared" si="46"/>
        <v>3</v>
      </c>
      <c r="L329" t="str">
        <f t="shared" si="47"/>
        <v>2</v>
      </c>
      <c r="M329" t="str">
        <f t="shared" si="48"/>
        <v>9</v>
      </c>
      <c r="O329" s="69">
        <f t="shared" si="49"/>
        <v>14</v>
      </c>
      <c r="P329">
        <f t="shared" si="53"/>
        <v>84</v>
      </c>
      <c r="Q329" t="str">
        <f t="shared" si="54"/>
        <v xml:space="preserve"> </v>
      </c>
    </row>
    <row r="330" spans="1:17" x14ac:dyDescent="0.25">
      <c r="A330">
        <v>0</v>
      </c>
      <c r="E330">
        <v>330</v>
      </c>
      <c r="G330" t="str">
        <f t="shared" si="50"/>
        <v>3</v>
      </c>
      <c r="H330" t="str">
        <f t="shared" si="51"/>
        <v>3</v>
      </c>
      <c r="I330" t="str">
        <f t="shared" si="52"/>
        <v>0</v>
      </c>
      <c r="K330" t="str">
        <f t="shared" si="46"/>
        <v>3</v>
      </c>
      <c r="L330" t="str">
        <f t="shared" si="47"/>
        <v>3</v>
      </c>
      <c r="M330" t="str">
        <f t="shared" si="48"/>
        <v>0</v>
      </c>
      <c r="O330" s="69">
        <f t="shared" si="49"/>
        <v>6</v>
      </c>
      <c r="P330">
        <f t="shared" si="53"/>
        <v>36</v>
      </c>
      <c r="Q330" t="str">
        <f t="shared" si="54"/>
        <v xml:space="preserve"> </v>
      </c>
    </row>
    <row r="331" spans="1:17" x14ac:dyDescent="0.25">
      <c r="A331">
        <v>0</v>
      </c>
      <c r="E331">
        <v>331</v>
      </c>
      <c r="G331" t="str">
        <f t="shared" si="50"/>
        <v>3</v>
      </c>
      <c r="H331" t="str">
        <f t="shared" si="51"/>
        <v>3</v>
      </c>
      <c r="I331" t="str">
        <f t="shared" si="52"/>
        <v>1</v>
      </c>
      <c r="K331" t="str">
        <f t="shared" si="46"/>
        <v>3</v>
      </c>
      <c r="L331" t="str">
        <f t="shared" si="47"/>
        <v>3</v>
      </c>
      <c r="M331" t="str">
        <f t="shared" si="48"/>
        <v>1</v>
      </c>
      <c r="O331" s="69">
        <f t="shared" si="49"/>
        <v>7</v>
      </c>
      <c r="P331">
        <f t="shared" si="53"/>
        <v>42</v>
      </c>
      <c r="Q331" t="str">
        <f t="shared" si="54"/>
        <v xml:space="preserve"> </v>
      </c>
    </row>
    <row r="332" spans="1:17" x14ac:dyDescent="0.25">
      <c r="A332">
        <v>0</v>
      </c>
      <c r="E332">
        <v>332</v>
      </c>
      <c r="G332" t="str">
        <f t="shared" si="50"/>
        <v>3</v>
      </c>
      <c r="H332" t="str">
        <f t="shared" si="51"/>
        <v>3</v>
      </c>
      <c r="I332" t="str">
        <f t="shared" si="52"/>
        <v>2</v>
      </c>
      <c r="K332" t="str">
        <f t="shared" si="46"/>
        <v>3</v>
      </c>
      <c r="L332" t="str">
        <f t="shared" si="47"/>
        <v>3</v>
      </c>
      <c r="M332" t="str">
        <f t="shared" si="48"/>
        <v>2</v>
      </c>
      <c r="O332" s="69">
        <f t="shared" si="49"/>
        <v>8</v>
      </c>
      <c r="P332">
        <f t="shared" si="53"/>
        <v>48</v>
      </c>
      <c r="Q332" t="str">
        <f t="shared" si="54"/>
        <v xml:space="preserve"> </v>
      </c>
    </row>
    <row r="333" spans="1:17" x14ac:dyDescent="0.25">
      <c r="A333">
        <v>0</v>
      </c>
      <c r="E333">
        <v>333</v>
      </c>
      <c r="G333" t="str">
        <f t="shared" si="50"/>
        <v>3</v>
      </c>
      <c r="H333" t="str">
        <f t="shared" si="51"/>
        <v>3</v>
      </c>
      <c r="I333" t="str">
        <f t="shared" si="52"/>
        <v>3</v>
      </c>
      <c r="K333" t="str">
        <f t="shared" si="46"/>
        <v>3</v>
      </c>
      <c r="L333" t="str">
        <f t="shared" si="47"/>
        <v>3</v>
      </c>
      <c r="M333" t="str">
        <f t="shared" si="48"/>
        <v>3</v>
      </c>
      <c r="O333" s="69">
        <f t="shared" si="49"/>
        <v>9</v>
      </c>
      <c r="P333">
        <f t="shared" si="53"/>
        <v>54</v>
      </c>
      <c r="Q333" t="str">
        <f t="shared" si="54"/>
        <v xml:space="preserve"> </v>
      </c>
    </row>
    <row r="334" spans="1:17" x14ac:dyDescent="0.25">
      <c r="A334">
        <v>0</v>
      </c>
      <c r="E334">
        <v>334</v>
      </c>
      <c r="G334" t="str">
        <f t="shared" si="50"/>
        <v>3</v>
      </c>
      <c r="H334" t="str">
        <f t="shared" si="51"/>
        <v>3</v>
      </c>
      <c r="I334" t="str">
        <f t="shared" si="52"/>
        <v>4</v>
      </c>
      <c r="K334" t="str">
        <f t="shared" si="46"/>
        <v>3</v>
      </c>
      <c r="L334" t="str">
        <f t="shared" si="47"/>
        <v>3</v>
      </c>
      <c r="M334" t="str">
        <f t="shared" si="48"/>
        <v>4</v>
      </c>
      <c r="O334" s="69">
        <f t="shared" si="49"/>
        <v>10</v>
      </c>
      <c r="P334">
        <f t="shared" si="53"/>
        <v>60</v>
      </c>
      <c r="Q334" t="str">
        <f t="shared" si="54"/>
        <v xml:space="preserve"> </v>
      </c>
    </row>
    <row r="335" spans="1:17" x14ac:dyDescent="0.25">
      <c r="A335">
        <v>0</v>
      </c>
      <c r="E335">
        <v>335</v>
      </c>
      <c r="G335" t="str">
        <f t="shared" si="50"/>
        <v>3</v>
      </c>
      <c r="H335" t="str">
        <f t="shared" si="51"/>
        <v>3</v>
      </c>
      <c r="I335" t="str">
        <f t="shared" si="52"/>
        <v>5</v>
      </c>
      <c r="K335" t="str">
        <f t="shared" si="46"/>
        <v>3</v>
      </c>
      <c r="L335" t="str">
        <f t="shared" si="47"/>
        <v>3</v>
      </c>
      <c r="M335" t="str">
        <f t="shared" si="48"/>
        <v>5</v>
      </c>
      <c r="O335" s="69">
        <f t="shared" si="49"/>
        <v>11</v>
      </c>
      <c r="P335">
        <f t="shared" si="53"/>
        <v>66</v>
      </c>
      <c r="Q335" t="str">
        <f t="shared" si="54"/>
        <v xml:space="preserve"> </v>
      </c>
    </row>
    <row r="336" spans="1:17" x14ac:dyDescent="0.25">
      <c r="A336">
        <v>0</v>
      </c>
      <c r="E336">
        <v>336</v>
      </c>
      <c r="G336" t="str">
        <f t="shared" si="50"/>
        <v>3</v>
      </c>
      <c r="H336" t="str">
        <f t="shared" si="51"/>
        <v>3</v>
      </c>
      <c r="I336" t="str">
        <f t="shared" si="52"/>
        <v>6</v>
      </c>
      <c r="K336" t="str">
        <f t="shared" si="46"/>
        <v>3</v>
      </c>
      <c r="L336" t="str">
        <f t="shared" si="47"/>
        <v>3</v>
      </c>
      <c r="M336" t="str">
        <f t="shared" si="48"/>
        <v>6</v>
      </c>
      <c r="O336" s="69">
        <f t="shared" si="49"/>
        <v>12</v>
      </c>
      <c r="P336">
        <f t="shared" si="53"/>
        <v>72</v>
      </c>
      <c r="Q336" t="str">
        <f t="shared" si="54"/>
        <v xml:space="preserve"> </v>
      </c>
    </row>
    <row r="337" spans="1:17" x14ac:dyDescent="0.25">
      <c r="A337">
        <v>0</v>
      </c>
      <c r="E337">
        <v>337</v>
      </c>
      <c r="G337" t="str">
        <f t="shared" si="50"/>
        <v>3</v>
      </c>
      <c r="H337" t="str">
        <f t="shared" si="51"/>
        <v>3</v>
      </c>
      <c r="I337" t="str">
        <f t="shared" si="52"/>
        <v>7</v>
      </c>
      <c r="K337" t="str">
        <f t="shared" si="46"/>
        <v>3</v>
      </c>
      <c r="L337" t="str">
        <f t="shared" si="47"/>
        <v>3</v>
      </c>
      <c r="M337" t="str">
        <f t="shared" si="48"/>
        <v>7</v>
      </c>
      <c r="O337" s="69">
        <f t="shared" si="49"/>
        <v>13</v>
      </c>
      <c r="P337">
        <f t="shared" si="53"/>
        <v>78</v>
      </c>
      <c r="Q337" t="str">
        <f t="shared" si="54"/>
        <v xml:space="preserve"> </v>
      </c>
    </row>
    <row r="338" spans="1:17" x14ac:dyDescent="0.25">
      <c r="A338">
        <v>0</v>
      </c>
      <c r="E338">
        <v>338</v>
      </c>
      <c r="G338" t="str">
        <f t="shared" si="50"/>
        <v>3</v>
      </c>
      <c r="H338" t="str">
        <f t="shared" si="51"/>
        <v>3</v>
      </c>
      <c r="I338" t="str">
        <f t="shared" si="52"/>
        <v>8</v>
      </c>
      <c r="K338" t="str">
        <f t="shared" ref="K338:K401" si="55">+G338</f>
        <v>3</v>
      </c>
      <c r="L338" t="str">
        <f t="shared" ref="L338:L401" si="56">+H338</f>
        <v>3</v>
      </c>
      <c r="M338" t="str">
        <f t="shared" ref="M338:M401" si="57">+I338</f>
        <v>8</v>
      </c>
      <c r="O338" s="69">
        <f t="shared" si="49"/>
        <v>14</v>
      </c>
      <c r="P338">
        <f t="shared" si="53"/>
        <v>84</v>
      </c>
      <c r="Q338" t="str">
        <f t="shared" si="54"/>
        <v xml:space="preserve"> </v>
      </c>
    </row>
    <row r="339" spans="1:17" x14ac:dyDescent="0.25">
      <c r="A339">
        <v>0</v>
      </c>
      <c r="E339">
        <v>339</v>
      </c>
      <c r="G339" t="str">
        <f t="shared" si="50"/>
        <v>3</v>
      </c>
      <c r="H339" t="str">
        <f t="shared" si="51"/>
        <v>3</v>
      </c>
      <c r="I339" t="str">
        <f t="shared" si="52"/>
        <v>9</v>
      </c>
      <c r="K339" t="str">
        <f t="shared" si="55"/>
        <v>3</v>
      </c>
      <c r="L339" t="str">
        <f t="shared" si="56"/>
        <v>3</v>
      </c>
      <c r="M339" t="str">
        <f t="shared" si="57"/>
        <v>9</v>
      </c>
      <c r="O339" s="69">
        <f t="shared" si="49"/>
        <v>15</v>
      </c>
      <c r="P339">
        <f t="shared" si="53"/>
        <v>90</v>
      </c>
      <c r="Q339" t="str">
        <f t="shared" si="54"/>
        <v xml:space="preserve"> </v>
      </c>
    </row>
    <row r="340" spans="1:17" x14ac:dyDescent="0.25">
      <c r="A340">
        <v>0</v>
      </c>
      <c r="E340">
        <v>340</v>
      </c>
      <c r="G340" t="str">
        <f t="shared" si="50"/>
        <v>3</v>
      </c>
      <c r="H340" t="str">
        <f t="shared" si="51"/>
        <v>4</v>
      </c>
      <c r="I340" t="str">
        <f t="shared" si="52"/>
        <v>0</v>
      </c>
      <c r="K340" t="str">
        <f t="shared" si="55"/>
        <v>3</v>
      </c>
      <c r="L340" t="str">
        <f t="shared" si="56"/>
        <v>4</v>
      </c>
      <c r="M340" t="str">
        <f t="shared" si="57"/>
        <v>0</v>
      </c>
      <c r="O340" s="69">
        <f t="shared" si="49"/>
        <v>7</v>
      </c>
      <c r="P340">
        <f t="shared" si="53"/>
        <v>42</v>
      </c>
      <c r="Q340" t="str">
        <f t="shared" si="54"/>
        <v xml:space="preserve"> </v>
      </c>
    </row>
    <row r="341" spans="1:17" x14ac:dyDescent="0.25">
      <c r="A341">
        <v>0</v>
      </c>
      <c r="E341">
        <v>341</v>
      </c>
      <c r="G341" t="str">
        <f t="shared" si="50"/>
        <v>3</v>
      </c>
      <c r="H341" t="str">
        <f t="shared" si="51"/>
        <v>4</v>
      </c>
      <c r="I341" t="str">
        <f t="shared" si="52"/>
        <v>1</v>
      </c>
      <c r="K341" t="str">
        <f t="shared" si="55"/>
        <v>3</v>
      </c>
      <c r="L341" t="str">
        <f t="shared" si="56"/>
        <v>4</v>
      </c>
      <c r="M341" t="str">
        <f t="shared" si="57"/>
        <v>1</v>
      </c>
      <c r="O341" s="69">
        <f t="shared" si="49"/>
        <v>8</v>
      </c>
      <c r="P341">
        <f t="shared" si="53"/>
        <v>48</v>
      </c>
      <c r="Q341" t="str">
        <f t="shared" si="54"/>
        <v xml:space="preserve"> </v>
      </c>
    </row>
    <row r="342" spans="1:17" x14ac:dyDescent="0.25">
      <c r="A342">
        <v>0</v>
      </c>
      <c r="E342">
        <v>342</v>
      </c>
      <c r="G342" t="str">
        <f t="shared" si="50"/>
        <v>3</v>
      </c>
      <c r="H342" t="str">
        <f t="shared" si="51"/>
        <v>4</v>
      </c>
      <c r="I342" t="str">
        <f t="shared" si="52"/>
        <v>2</v>
      </c>
      <c r="K342" t="str">
        <f t="shared" si="55"/>
        <v>3</v>
      </c>
      <c r="L342" t="str">
        <f t="shared" si="56"/>
        <v>4</v>
      </c>
      <c r="M342" t="str">
        <f t="shared" si="57"/>
        <v>2</v>
      </c>
      <c r="O342" s="69">
        <f t="shared" si="49"/>
        <v>9</v>
      </c>
      <c r="P342">
        <f t="shared" si="53"/>
        <v>54</v>
      </c>
      <c r="Q342" t="str">
        <f t="shared" si="54"/>
        <v xml:space="preserve"> </v>
      </c>
    </row>
    <row r="343" spans="1:17" x14ac:dyDescent="0.25">
      <c r="A343">
        <v>0</v>
      </c>
      <c r="E343">
        <v>343</v>
      </c>
      <c r="G343" t="str">
        <f t="shared" si="50"/>
        <v>3</v>
      </c>
      <c r="H343" t="str">
        <f t="shared" si="51"/>
        <v>4</v>
      </c>
      <c r="I343" t="str">
        <f t="shared" si="52"/>
        <v>3</v>
      </c>
      <c r="K343" t="str">
        <f t="shared" si="55"/>
        <v>3</v>
      </c>
      <c r="L343" t="str">
        <f t="shared" si="56"/>
        <v>4</v>
      </c>
      <c r="M343" t="str">
        <f t="shared" si="57"/>
        <v>3</v>
      </c>
      <c r="O343" s="69">
        <f t="shared" si="49"/>
        <v>10</v>
      </c>
      <c r="P343">
        <f t="shared" si="53"/>
        <v>60</v>
      </c>
      <c r="Q343" t="str">
        <f t="shared" si="54"/>
        <v xml:space="preserve"> </v>
      </c>
    </row>
    <row r="344" spans="1:17" x14ac:dyDescent="0.25">
      <c r="A344">
        <v>0</v>
      </c>
      <c r="E344">
        <v>344</v>
      </c>
      <c r="G344" t="str">
        <f t="shared" si="50"/>
        <v>3</v>
      </c>
      <c r="H344" t="str">
        <f t="shared" si="51"/>
        <v>4</v>
      </c>
      <c r="I344" t="str">
        <f t="shared" si="52"/>
        <v>4</v>
      </c>
      <c r="K344" t="str">
        <f t="shared" si="55"/>
        <v>3</v>
      </c>
      <c r="L344" t="str">
        <f t="shared" si="56"/>
        <v>4</v>
      </c>
      <c r="M344" t="str">
        <f t="shared" si="57"/>
        <v>4</v>
      </c>
      <c r="O344" s="69">
        <f t="shared" si="49"/>
        <v>11</v>
      </c>
      <c r="P344">
        <f t="shared" si="53"/>
        <v>66</v>
      </c>
      <c r="Q344" t="str">
        <f t="shared" si="54"/>
        <v xml:space="preserve"> </v>
      </c>
    </row>
    <row r="345" spans="1:17" x14ac:dyDescent="0.25">
      <c r="A345">
        <v>0</v>
      </c>
      <c r="E345">
        <v>345</v>
      </c>
      <c r="G345" t="str">
        <f t="shared" si="50"/>
        <v>3</v>
      </c>
      <c r="H345" t="str">
        <f t="shared" si="51"/>
        <v>4</v>
      </c>
      <c r="I345" t="str">
        <f t="shared" si="52"/>
        <v>5</v>
      </c>
      <c r="K345" t="str">
        <f t="shared" si="55"/>
        <v>3</v>
      </c>
      <c r="L345" t="str">
        <f t="shared" si="56"/>
        <v>4</v>
      </c>
      <c r="M345" t="str">
        <f t="shared" si="57"/>
        <v>5</v>
      </c>
      <c r="O345" s="69">
        <f t="shared" si="49"/>
        <v>12</v>
      </c>
      <c r="P345">
        <f t="shared" si="53"/>
        <v>72</v>
      </c>
      <c r="Q345" t="str">
        <f t="shared" si="54"/>
        <v xml:space="preserve"> </v>
      </c>
    </row>
    <row r="346" spans="1:17" x14ac:dyDescent="0.25">
      <c r="A346">
        <v>0</v>
      </c>
      <c r="E346">
        <v>346</v>
      </c>
      <c r="G346" t="str">
        <f t="shared" si="50"/>
        <v>3</v>
      </c>
      <c r="H346" t="str">
        <f t="shared" si="51"/>
        <v>4</v>
      </c>
      <c r="I346" t="str">
        <f t="shared" si="52"/>
        <v>6</v>
      </c>
      <c r="K346" t="str">
        <f t="shared" si="55"/>
        <v>3</v>
      </c>
      <c r="L346" t="str">
        <f t="shared" si="56"/>
        <v>4</v>
      </c>
      <c r="M346" t="str">
        <f t="shared" si="57"/>
        <v>6</v>
      </c>
      <c r="O346" s="69">
        <f t="shared" si="49"/>
        <v>13</v>
      </c>
      <c r="P346">
        <f t="shared" si="53"/>
        <v>78</v>
      </c>
      <c r="Q346" t="str">
        <f t="shared" si="54"/>
        <v xml:space="preserve"> </v>
      </c>
    </row>
    <row r="347" spans="1:17" x14ac:dyDescent="0.25">
      <c r="A347">
        <v>0</v>
      </c>
      <c r="E347">
        <v>347</v>
      </c>
      <c r="G347" t="str">
        <f t="shared" si="50"/>
        <v>3</v>
      </c>
      <c r="H347" t="str">
        <f t="shared" si="51"/>
        <v>4</v>
      </c>
      <c r="I347" t="str">
        <f t="shared" si="52"/>
        <v>7</v>
      </c>
      <c r="K347" t="str">
        <f t="shared" si="55"/>
        <v>3</v>
      </c>
      <c r="L347" t="str">
        <f t="shared" si="56"/>
        <v>4</v>
      </c>
      <c r="M347" t="str">
        <f t="shared" si="57"/>
        <v>7</v>
      </c>
      <c r="O347" s="69">
        <f t="shared" si="49"/>
        <v>14</v>
      </c>
      <c r="P347">
        <f t="shared" si="53"/>
        <v>84</v>
      </c>
      <c r="Q347" t="str">
        <f t="shared" si="54"/>
        <v xml:space="preserve"> </v>
      </c>
    </row>
    <row r="348" spans="1:17" x14ac:dyDescent="0.25">
      <c r="A348">
        <v>0</v>
      </c>
      <c r="E348">
        <v>348</v>
      </c>
      <c r="G348" t="str">
        <f t="shared" si="50"/>
        <v>3</v>
      </c>
      <c r="H348" t="str">
        <f t="shared" si="51"/>
        <v>4</v>
      </c>
      <c r="I348" t="str">
        <f t="shared" si="52"/>
        <v>8</v>
      </c>
      <c r="K348" t="str">
        <f t="shared" si="55"/>
        <v>3</v>
      </c>
      <c r="L348" t="str">
        <f t="shared" si="56"/>
        <v>4</v>
      </c>
      <c r="M348" t="str">
        <f t="shared" si="57"/>
        <v>8</v>
      </c>
      <c r="O348" s="69">
        <f t="shared" si="49"/>
        <v>15</v>
      </c>
      <c r="P348">
        <f t="shared" si="53"/>
        <v>90</v>
      </c>
      <c r="Q348" t="str">
        <f t="shared" si="54"/>
        <v xml:space="preserve"> </v>
      </c>
    </row>
    <row r="349" spans="1:17" x14ac:dyDescent="0.25">
      <c r="A349">
        <v>0</v>
      </c>
      <c r="E349">
        <v>349</v>
      </c>
      <c r="G349" t="str">
        <f t="shared" si="50"/>
        <v>3</v>
      </c>
      <c r="H349" t="str">
        <f t="shared" si="51"/>
        <v>4</v>
      </c>
      <c r="I349" t="str">
        <f t="shared" si="52"/>
        <v>9</v>
      </c>
      <c r="K349" t="str">
        <f t="shared" si="55"/>
        <v>3</v>
      </c>
      <c r="L349" t="str">
        <f t="shared" si="56"/>
        <v>4</v>
      </c>
      <c r="M349" t="str">
        <f t="shared" si="57"/>
        <v>9</v>
      </c>
      <c r="O349" s="69">
        <f t="shared" si="49"/>
        <v>16</v>
      </c>
      <c r="P349">
        <f t="shared" si="53"/>
        <v>96</v>
      </c>
      <c r="Q349" t="str">
        <f t="shared" si="54"/>
        <v xml:space="preserve"> </v>
      </c>
    </row>
    <row r="350" spans="1:17" x14ac:dyDescent="0.25">
      <c r="A350">
        <v>0</v>
      </c>
      <c r="E350">
        <v>350</v>
      </c>
      <c r="G350" t="str">
        <f t="shared" si="50"/>
        <v>3</v>
      </c>
      <c r="H350" t="str">
        <f t="shared" si="51"/>
        <v>5</v>
      </c>
      <c r="I350" t="str">
        <f t="shared" si="52"/>
        <v>0</v>
      </c>
      <c r="K350" t="str">
        <f t="shared" si="55"/>
        <v>3</v>
      </c>
      <c r="L350" t="str">
        <f t="shared" si="56"/>
        <v>5</v>
      </c>
      <c r="M350" t="str">
        <f t="shared" si="57"/>
        <v>0</v>
      </c>
      <c r="O350" s="69">
        <f t="shared" si="49"/>
        <v>8</v>
      </c>
      <c r="P350">
        <f t="shared" si="53"/>
        <v>48</v>
      </c>
      <c r="Q350" t="str">
        <f t="shared" si="54"/>
        <v xml:space="preserve"> </v>
      </c>
    </row>
    <row r="351" spans="1:17" x14ac:dyDescent="0.25">
      <c r="A351">
        <v>0</v>
      </c>
      <c r="E351">
        <v>351</v>
      </c>
      <c r="G351" t="str">
        <f t="shared" si="50"/>
        <v>3</v>
      </c>
      <c r="H351" t="str">
        <f t="shared" si="51"/>
        <v>5</v>
      </c>
      <c r="I351" t="str">
        <f t="shared" si="52"/>
        <v>1</v>
      </c>
      <c r="K351" t="str">
        <f t="shared" si="55"/>
        <v>3</v>
      </c>
      <c r="L351" t="str">
        <f t="shared" si="56"/>
        <v>5</v>
      </c>
      <c r="M351" t="str">
        <f t="shared" si="57"/>
        <v>1</v>
      </c>
      <c r="O351" s="69">
        <f t="shared" si="49"/>
        <v>9</v>
      </c>
      <c r="P351">
        <f t="shared" si="53"/>
        <v>54</v>
      </c>
      <c r="Q351" t="str">
        <f t="shared" si="54"/>
        <v xml:space="preserve"> </v>
      </c>
    </row>
    <row r="352" spans="1:17" x14ac:dyDescent="0.25">
      <c r="A352">
        <v>0</v>
      </c>
      <c r="E352">
        <v>352</v>
      </c>
      <c r="G352" t="str">
        <f t="shared" si="50"/>
        <v>3</v>
      </c>
      <c r="H352" t="str">
        <f t="shared" si="51"/>
        <v>5</v>
      </c>
      <c r="I352" t="str">
        <f t="shared" si="52"/>
        <v>2</v>
      </c>
      <c r="K352" t="str">
        <f t="shared" si="55"/>
        <v>3</v>
      </c>
      <c r="L352" t="str">
        <f t="shared" si="56"/>
        <v>5</v>
      </c>
      <c r="M352" t="str">
        <f t="shared" si="57"/>
        <v>2</v>
      </c>
      <c r="O352" s="69">
        <f t="shared" si="49"/>
        <v>10</v>
      </c>
      <c r="P352">
        <f t="shared" si="53"/>
        <v>60</v>
      </c>
      <c r="Q352" t="str">
        <f t="shared" si="54"/>
        <v xml:space="preserve"> </v>
      </c>
    </row>
    <row r="353" spans="1:17" x14ac:dyDescent="0.25">
      <c r="A353">
        <v>0</v>
      </c>
      <c r="E353">
        <v>353</v>
      </c>
      <c r="G353" t="str">
        <f t="shared" si="50"/>
        <v>3</v>
      </c>
      <c r="H353" t="str">
        <f t="shared" si="51"/>
        <v>5</v>
      </c>
      <c r="I353" t="str">
        <f t="shared" si="52"/>
        <v>3</v>
      </c>
      <c r="K353" t="str">
        <f t="shared" si="55"/>
        <v>3</v>
      </c>
      <c r="L353" t="str">
        <f t="shared" si="56"/>
        <v>5</v>
      </c>
      <c r="M353" t="str">
        <f t="shared" si="57"/>
        <v>3</v>
      </c>
      <c r="O353" s="69">
        <f t="shared" si="49"/>
        <v>11</v>
      </c>
      <c r="P353">
        <f t="shared" si="53"/>
        <v>66</v>
      </c>
      <c r="Q353" t="str">
        <f t="shared" si="54"/>
        <v xml:space="preserve"> </v>
      </c>
    </row>
    <row r="354" spans="1:17" x14ac:dyDescent="0.25">
      <c r="A354">
        <v>0</v>
      </c>
      <c r="E354">
        <v>354</v>
      </c>
      <c r="G354" t="str">
        <f t="shared" si="50"/>
        <v>3</v>
      </c>
      <c r="H354" t="str">
        <f t="shared" si="51"/>
        <v>5</v>
      </c>
      <c r="I354" t="str">
        <f t="shared" si="52"/>
        <v>4</v>
      </c>
      <c r="K354" t="str">
        <f t="shared" si="55"/>
        <v>3</v>
      </c>
      <c r="L354" t="str">
        <f t="shared" si="56"/>
        <v>5</v>
      </c>
      <c r="M354" t="str">
        <f t="shared" si="57"/>
        <v>4</v>
      </c>
      <c r="O354" s="69">
        <f t="shared" si="49"/>
        <v>12</v>
      </c>
      <c r="P354">
        <f t="shared" si="53"/>
        <v>72</v>
      </c>
      <c r="Q354" t="str">
        <f t="shared" si="54"/>
        <v xml:space="preserve"> </v>
      </c>
    </row>
    <row r="355" spans="1:17" x14ac:dyDescent="0.25">
      <c r="A355">
        <v>0</v>
      </c>
      <c r="E355">
        <v>355</v>
      </c>
      <c r="G355" t="str">
        <f t="shared" si="50"/>
        <v>3</v>
      </c>
      <c r="H355" t="str">
        <f t="shared" si="51"/>
        <v>5</v>
      </c>
      <c r="I355" t="str">
        <f t="shared" si="52"/>
        <v>5</v>
      </c>
      <c r="K355" t="str">
        <f t="shared" si="55"/>
        <v>3</v>
      </c>
      <c r="L355" t="str">
        <f t="shared" si="56"/>
        <v>5</v>
      </c>
      <c r="M355" t="str">
        <f t="shared" si="57"/>
        <v>5</v>
      </c>
      <c r="O355" s="69">
        <f t="shared" si="49"/>
        <v>13</v>
      </c>
      <c r="P355">
        <f t="shared" si="53"/>
        <v>78</v>
      </c>
      <c r="Q355" t="str">
        <f t="shared" si="54"/>
        <v xml:space="preserve"> </v>
      </c>
    </row>
    <row r="356" spans="1:17" x14ac:dyDescent="0.25">
      <c r="A356">
        <v>0</v>
      </c>
      <c r="E356">
        <v>356</v>
      </c>
      <c r="G356" t="str">
        <f t="shared" si="50"/>
        <v>3</v>
      </c>
      <c r="H356" t="str">
        <f t="shared" si="51"/>
        <v>5</v>
      </c>
      <c r="I356" t="str">
        <f t="shared" si="52"/>
        <v>6</v>
      </c>
      <c r="K356" t="str">
        <f t="shared" si="55"/>
        <v>3</v>
      </c>
      <c r="L356" t="str">
        <f t="shared" si="56"/>
        <v>5</v>
      </c>
      <c r="M356" t="str">
        <f t="shared" si="57"/>
        <v>6</v>
      </c>
      <c r="O356" s="69">
        <f t="shared" si="49"/>
        <v>14</v>
      </c>
      <c r="P356">
        <f t="shared" si="53"/>
        <v>84</v>
      </c>
      <c r="Q356" t="str">
        <f t="shared" si="54"/>
        <v xml:space="preserve"> </v>
      </c>
    </row>
    <row r="357" spans="1:17" x14ac:dyDescent="0.25">
      <c r="A357">
        <v>0</v>
      </c>
      <c r="E357">
        <v>357</v>
      </c>
      <c r="G357" t="str">
        <f t="shared" si="50"/>
        <v>3</v>
      </c>
      <c r="H357" t="str">
        <f t="shared" si="51"/>
        <v>5</v>
      </c>
      <c r="I357" t="str">
        <f t="shared" si="52"/>
        <v>7</v>
      </c>
      <c r="K357" t="str">
        <f t="shared" si="55"/>
        <v>3</v>
      </c>
      <c r="L357" t="str">
        <f t="shared" si="56"/>
        <v>5</v>
      </c>
      <c r="M357" t="str">
        <f t="shared" si="57"/>
        <v>7</v>
      </c>
      <c r="O357" s="69">
        <f t="shared" ref="O357:O420" si="58">+K357+L357+M357</f>
        <v>15</v>
      </c>
      <c r="P357">
        <f t="shared" si="53"/>
        <v>90</v>
      </c>
      <c r="Q357" t="str">
        <f t="shared" si="54"/>
        <v xml:space="preserve"> </v>
      </c>
    </row>
    <row r="358" spans="1:17" x14ac:dyDescent="0.25">
      <c r="A358">
        <v>0</v>
      </c>
      <c r="E358">
        <v>358</v>
      </c>
      <c r="G358" t="str">
        <f t="shared" si="50"/>
        <v>3</v>
      </c>
      <c r="H358" t="str">
        <f t="shared" si="51"/>
        <v>5</v>
      </c>
      <c r="I358" t="str">
        <f t="shared" si="52"/>
        <v>8</v>
      </c>
      <c r="K358" t="str">
        <f t="shared" si="55"/>
        <v>3</v>
      </c>
      <c r="L358" t="str">
        <f t="shared" si="56"/>
        <v>5</v>
      </c>
      <c r="M358" t="str">
        <f t="shared" si="57"/>
        <v>8</v>
      </c>
      <c r="O358" s="69">
        <f t="shared" si="58"/>
        <v>16</v>
      </c>
      <c r="P358">
        <f t="shared" si="53"/>
        <v>96</v>
      </c>
      <c r="Q358" t="str">
        <f t="shared" si="54"/>
        <v xml:space="preserve"> </v>
      </c>
    </row>
    <row r="359" spans="1:17" x14ac:dyDescent="0.25">
      <c r="A359">
        <v>0</v>
      </c>
      <c r="E359">
        <v>359</v>
      </c>
      <c r="G359" t="str">
        <f t="shared" si="50"/>
        <v>3</v>
      </c>
      <c r="H359" t="str">
        <f t="shared" si="51"/>
        <v>5</v>
      </c>
      <c r="I359" t="str">
        <f t="shared" si="52"/>
        <v>9</v>
      </c>
      <c r="K359" t="str">
        <f t="shared" si="55"/>
        <v>3</v>
      </c>
      <c r="L359" t="str">
        <f t="shared" si="56"/>
        <v>5</v>
      </c>
      <c r="M359" t="str">
        <f t="shared" si="57"/>
        <v>9</v>
      </c>
      <c r="O359" s="69">
        <f t="shared" si="58"/>
        <v>17</v>
      </c>
      <c r="P359">
        <f t="shared" si="53"/>
        <v>102</v>
      </c>
      <c r="Q359" t="str">
        <f t="shared" si="54"/>
        <v xml:space="preserve"> </v>
      </c>
    </row>
    <row r="360" spans="1:17" x14ac:dyDescent="0.25">
      <c r="A360">
        <v>0</v>
      </c>
      <c r="E360">
        <v>360</v>
      </c>
      <c r="G360" t="str">
        <f t="shared" si="50"/>
        <v>3</v>
      </c>
      <c r="H360" t="str">
        <f t="shared" si="51"/>
        <v>6</v>
      </c>
      <c r="I360" t="str">
        <f t="shared" si="52"/>
        <v>0</v>
      </c>
      <c r="K360" t="str">
        <f t="shared" si="55"/>
        <v>3</v>
      </c>
      <c r="L360" t="str">
        <f t="shared" si="56"/>
        <v>6</v>
      </c>
      <c r="M360" t="str">
        <f t="shared" si="57"/>
        <v>0</v>
      </c>
      <c r="O360" s="69">
        <f t="shared" si="58"/>
        <v>9</v>
      </c>
      <c r="P360">
        <f t="shared" si="53"/>
        <v>54</v>
      </c>
      <c r="Q360" t="str">
        <f t="shared" si="54"/>
        <v xml:space="preserve"> </v>
      </c>
    </row>
    <row r="361" spans="1:17" x14ac:dyDescent="0.25">
      <c r="A361">
        <v>0</v>
      </c>
      <c r="E361">
        <v>361</v>
      </c>
      <c r="G361" t="str">
        <f t="shared" si="50"/>
        <v>3</v>
      </c>
      <c r="H361" t="str">
        <f t="shared" si="51"/>
        <v>6</v>
      </c>
      <c r="I361" t="str">
        <f t="shared" si="52"/>
        <v>1</v>
      </c>
      <c r="K361" t="str">
        <f t="shared" si="55"/>
        <v>3</v>
      </c>
      <c r="L361" t="str">
        <f t="shared" si="56"/>
        <v>6</v>
      </c>
      <c r="M361" t="str">
        <f t="shared" si="57"/>
        <v>1</v>
      </c>
      <c r="O361" s="69">
        <f t="shared" si="58"/>
        <v>10</v>
      </c>
      <c r="P361">
        <f t="shared" si="53"/>
        <v>60</v>
      </c>
      <c r="Q361" t="str">
        <f t="shared" si="54"/>
        <v xml:space="preserve"> </v>
      </c>
    </row>
    <row r="362" spans="1:17" x14ac:dyDescent="0.25">
      <c r="A362">
        <v>0</v>
      </c>
      <c r="E362">
        <v>362</v>
      </c>
      <c r="G362" t="str">
        <f t="shared" si="50"/>
        <v>3</v>
      </c>
      <c r="H362" t="str">
        <f t="shared" si="51"/>
        <v>6</v>
      </c>
      <c r="I362" t="str">
        <f t="shared" si="52"/>
        <v>2</v>
      </c>
      <c r="K362" t="str">
        <f t="shared" si="55"/>
        <v>3</v>
      </c>
      <c r="L362" t="str">
        <f t="shared" si="56"/>
        <v>6</v>
      </c>
      <c r="M362" t="str">
        <f t="shared" si="57"/>
        <v>2</v>
      </c>
      <c r="O362" s="69">
        <f t="shared" si="58"/>
        <v>11</v>
      </c>
      <c r="P362">
        <f t="shared" si="53"/>
        <v>66</v>
      </c>
      <c r="Q362" t="str">
        <f t="shared" si="54"/>
        <v xml:space="preserve"> </v>
      </c>
    </row>
    <row r="363" spans="1:17" x14ac:dyDescent="0.25">
      <c r="A363">
        <v>0</v>
      </c>
      <c r="E363">
        <v>363</v>
      </c>
      <c r="G363" t="str">
        <f t="shared" si="50"/>
        <v>3</v>
      </c>
      <c r="H363" t="str">
        <f t="shared" si="51"/>
        <v>6</v>
      </c>
      <c r="I363" t="str">
        <f t="shared" si="52"/>
        <v>3</v>
      </c>
      <c r="K363" t="str">
        <f t="shared" si="55"/>
        <v>3</v>
      </c>
      <c r="L363" t="str">
        <f t="shared" si="56"/>
        <v>6</v>
      </c>
      <c r="M363" t="str">
        <f t="shared" si="57"/>
        <v>3</v>
      </c>
      <c r="O363" s="69">
        <f t="shared" si="58"/>
        <v>12</v>
      </c>
      <c r="P363">
        <f t="shared" si="53"/>
        <v>72</v>
      </c>
      <c r="Q363" t="str">
        <f t="shared" si="54"/>
        <v xml:space="preserve"> </v>
      </c>
    </row>
    <row r="364" spans="1:17" x14ac:dyDescent="0.25">
      <c r="A364">
        <v>0</v>
      </c>
      <c r="E364">
        <v>364</v>
      </c>
      <c r="G364" t="str">
        <f t="shared" si="50"/>
        <v>3</v>
      </c>
      <c r="H364" t="str">
        <f t="shared" si="51"/>
        <v>6</v>
      </c>
      <c r="I364" t="str">
        <f t="shared" si="52"/>
        <v>4</v>
      </c>
      <c r="K364" t="str">
        <f t="shared" si="55"/>
        <v>3</v>
      </c>
      <c r="L364" t="str">
        <f t="shared" si="56"/>
        <v>6</v>
      </c>
      <c r="M364" t="str">
        <f t="shared" si="57"/>
        <v>4</v>
      </c>
      <c r="O364" s="69">
        <f t="shared" si="58"/>
        <v>13</v>
      </c>
      <c r="P364">
        <f t="shared" si="53"/>
        <v>78</v>
      </c>
      <c r="Q364" t="str">
        <f t="shared" si="54"/>
        <v xml:space="preserve"> </v>
      </c>
    </row>
    <row r="365" spans="1:17" x14ac:dyDescent="0.25">
      <c r="A365">
        <v>0</v>
      </c>
      <c r="E365">
        <v>365</v>
      </c>
      <c r="G365" t="str">
        <f t="shared" si="50"/>
        <v>3</v>
      </c>
      <c r="H365" t="str">
        <f t="shared" si="51"/>
        <v>6</v>
      </c>
      <c r="I365" t="str">
        <f t="shared" si="52"/>
        <v>5</v>
      </c>
      <c r="K365" t="str">
        <f t="shared" si="55"/>
        <v>3</v>
      </c>
      <c r="L365" t="str">
        <f t="shared" si="56"/>
        <v>6</v>
      </c>
      <c r="M365" t="str">
        <f t="shared" si="57"/>
        <v>5</v>
      </c>
      <c r="O365" s="69">
        <f t="shared" si="58"/>
        <v>14</v>
      </c>
      <c r="P365">
        <f t="shared" si="53"/>
        <v>84</v>
      </c>
      <c r="Q365" t="str">
        <f t="shared" si="54"/>
        <v xml:space="preserve"> </v>
      </c>
    </row>
    <row r="366" spans="1:17" x14ac:dyDescent="0.25">
      <c r="A366">
        <v>0</v>
      </c>
      <c r="E366">
        <v>366</v>
      </c>
      <c r="G366" t="str">
        <f t="shared" si="50"/>
        <v>3</v>
      </c>
      <c r="H366" t="str">
        <f t="shared" si="51"/>
        <v>6</v>
      </c>
      <c r="I366" t="str">
        <f t="shared" si="52"/>
        <v>6</v>
      </c>
      <c r="K366" t="str">
        <f t="shared" si="55"/>
        <v>3</v>
      </c>
      <c r="L366" t="str">
        <f t="shared" si="56"/>
        <v>6</v>
      </c>
      <c r="M366" t="str">
        <f t="shared" si="57"/>
        <v>6</v>
      </c>
      <c r="O366" s="69">
        <f t="shared" si="58"/>
        <v>15</v>
      </c>
      <c r="P366">
        <f t="shared" si="53"/>
        <v>90</v>
      </c>
      <c r="Q366" t="str">
        <f t="shared" si="54"/>
        <v xml:space="preserve"> </v>
      </c>
    </row>
    <row r="367" spans="1:17" x14ac:dyDescent="0.25">
      <c r="A367">
        <v>0</v>
      </c>
      <c r="E367">
        <v>367</v>
      </c>
      <c r="G367" t="str">
        <f t="shared" si="50"/>
        <v>3</v>
      </c>
      <c r="H367" t="str">
        <f t="shared" si="51"/>
        <v>6</v>
      </c>
      <c r="I367" t="str">
        <f t="shared" si="52"/>
        <v>7</v>
      </c>
      <c r="K367" t="str">
        <f t="shared" si="55"/>
        <v>3</v>
      </c>
      <c r="L367" t="str">
        <f t="shared" si="56"/>
        <v>6</v>
      </c>
      <c r="M367" t="str">
        <f t="shared" si="57"/>
        <v>7</v>
      </c>
      <c r="O367" s="69">
        <f t="shared" si="58"/>
        <v>16</v>
      </c>
      <c r="P367">
        <f t="shared" si="53"/>
        <v>96</v>
      </c>
      <c r="Q367" t="str">
        <f t="shared" si="54"/>
        <v xml:space="preserve"> </v>
      </c>
    </row>
    <row r="368" spans="1:17" x14ac:dyDescent="0.25">
      <c r="A368">
        <v>0</v>
      </c>
      <c r="E368">
        <v>368</v>
      </c>
      <c r="G368" t="str">
        <f t="shared" si="50"/>
        <v>3</v>
      </c>
      <c r="H368" t="str">
        <f t="shared" si="51"/>
        <v>6</v>
      </c>
      <c r="I368" t="str">
        <f t="shared" si="52"/>
        <v>8</v>
      </c>
      <c r="K368" t="str">
        <f t="shared" si="55"/>
        <v>3</v>
      </c>
      <c r="L368" t="str">
        <f t="shared" si="56"/>
        <v>6</v>
      </c>
      <c r="M368" t="str">
        <f t="shared" si="57"/>
        <v>8</v>
      </c>
      <c r="O368" s="69">
        <f t="shared" si="58"/>
        <v>17</v>
      </c>
      <c r="P368">
        <f t="shared" si="53"/>
        <v>102</v>
      </c>
      <c r="Q368" t="str">
        <f t="shared" si="54"/>
        <v xml:space="preserve"> </v>
      </c>
    </row>
    <row r="369" spans="1:17" x14ac:dyDescent="0.25">
      <c r="A369">
        <v>0</v>
      </c>
      <c r="E369">
        <v>369</v>
      </c>
      <c r="G369" t="str">
        <f t="shared" si="50"/>
        <v>3</v>
      </c>
      <c r="H369" t="str">
        <f t="shared" si="51"/>
        <v>6</v>
      </c>
      <c r="I369" t="str">
        <f t="shared" si="52"/>
        <v>9</v>
      </c>
      <c r="K369" t="str">
        <f t="shared" si="55"/>
        <v>3</v>
      </c>
      <c r="L369" t="str">
        <f t="shared" si="56"/>
        <v>6</v>
      </c>
      <c r="M369" t="str">
        <f t="shared" si="57"/>
        <v>9</v>
      </c>
      <c r="O369" s="69">
        <f t="shared" si="58"/>
        <v>18</v>
      </c>
      <c r="P369">
        <f t="shared" si="53"/>
        <v>108</v>
      </c>
      <c r="Q369" t="str">
        <f t="shared" si="54"/>
        <v xml:space="preserve"> </v>
      </c>
    </row>
    <row r="370" spans="1:17" x14ac:dyDescent="0.25">
      <c r="A370">
        <v>0</v>
      </c>
      <c r="E370">
        <v>370</v>
      </c>
      <c r="G370" t="str">
        <f t="shared" si="50"/>
        <v>3</v>
      </c>
      <c r="H370" t="str">
        <f t="shared" si="51"/>
        <v>7</v>
      </c>
      <c r="I370" t="str">
        <f t="shared" si="52"/>
        <v>0</v>
      </c>
      <c r="K370" t="str">
        <f t="shared" si="55"/>
        <v>3</v>
      </c>
      <c r="L370" t="str">
        <f t="shared" si="56"/>
        <v>7</v>
      </c>
      <c r="M370" t="str">
        <f t="shared" si="57"/>
        <v>0</v>
      </c>
      <c r="O370" s="69">
        <f t="shared" si="58"/>
        <v>10</v>
      </c>
      <c r="P370">
        <f t="shared" si="53"/>
        <v>60</v>
      </c>
      <c r="Q370" t="str">
        <f t="shared" si="54"/>
        <v xml:space="preserve"> </v>
      </c>
    </row>
    <row r="371" spans="1:17" x14ac:dyDescent="0.25">
      <c r="A371">
        <v>0</v>
      </c>
      <c r="E371">
        <v>371</v>
      </c>
      <c r="G371" t="str">
        <f t="shared" si="50"/>
        <v>3</v>
      </c>
      <c r="H371" t="str">
        <f t="shared" si="51"/>
        <v>7</v>
      </c>
      <c r="I371" t="str">
        <f t="shared" si="52"/>
        <v>1</v>
      </c>
      <c r="K371" t="str">
        <f t="shared" si="55"/>
        <v>3</v>
      </c>
      <c r="L371" t="str">
        <f t="shared" si="56"/>
        <v>7</v>
      </c>
      <c r="M371" t="str">
        <f t="shared" si="57"/>
        <v>1</v>
      </c>
      <c r="O371" s="69">
        <f t="shared" si="58"/>
        <v>11</v>
      </c>
      <c r="P371">
        <f t="shared" si="53"/>
        <v>66</v>
      </c>
      <c r="Q371" t="str">
        <f t="shared" si="54"/>
        <v xml:space="preserve"> </v>
      </c>
    </row>
    <row r="372" spans="1:17" x14ac:dyDescent="0.25">
      <c r="A372">
        <v>0</v>
      </c>
      <c r="E372">
        <v>372</v>
      </c>
      <c r="G372" t="str">
        <f t="shared" si="50"/>
        <v>3</v>
      </c>
      <c r="H372" t="str">
        <f t="shared" si="51"/>
        <v>7</v>
      </c>
      <c r="I372" t="str">
        <f t="shared" si="52"/>
        <v>2</v>
      </c>
      <c r="K372" t="str">
        <f t="shared" si="55"/>
        <v>3</v>
      </c>
      <c r="L372" t="str">
        <f t="shared" si="56"/>
        <v>7</v>
      </c>
      <c r="M372" t="str">
        <f t="shared" si="57"/>
        <v>2</v>
      </c>
      <c r="O372" s="69">
        <f t="shared" si="58"/>
        <v>12</v>
      </c>
      <c r="P372">
        <f t="shared" si="53"/>
        <v>72</v>
      </c>
      <c r="Q372" t="str">
        <f t="shared" si="54"/>
        <v xml:space="preserve"> </v>
      </c>
    </row>
    <row r="373" spans="1:17" x14ac:dyDescent="0.25">
      <c r="A373">
        <v>0</v>
      </c>
      <c r="E373">
        <v>373</v>
      </c>
      <c r="G373" t="str">
        <f t="shared" si="50"/>
        <v>3</v>
      </c>
      <c r="H373" t="str">
        <f t="shared" si="51"/>
        <v>7</v>
      </c>
      <c r="I373" t="str">
        <f t="shared" si="52"/>
        <v>3</v>
      </c>
      <c r="K373" t="str">
        <f t="shared" si="55"/>
        <v>3</v>
      </c>
      <c r="L373" t="str">
        <f t="shared" si="56"/>
        <v>7</v>
      </c>
      <c r="M373" t="str">
        <f t="shared" si="57"/>
        <v>3</v>
      </c>
      <c r="O373" s="69">
        <f t="shared" si="58"/>
        <v>13</v>
      </c>
      <c r="P373">
        <f t="shared" si="53"/>
        <v>78</v>
      </c>
      <c r="Q373" t="str">
        <f t="shared" si="54"/>
        <v xml:space="preserve"> </v>
      </c>
    </row>
    <row r="374" spans="1:17" x14ac:dyDescent="0.25">
      <c r="A374">
        <v>0</v>
      </c>
      <c r="E374">
        <v>374</v>
      </c>
      <c r="G374" t="str">
        <f t="shared" si="50"/>
        <v>3</v>
      </c>
      <c r="H374" t="str">
        <f t="shared" si="51"/>
        <v>7</v>
      </c>
      <c r="I374" t="str">
        <f t="shared" si="52"/>
        <v>4</v>
      </c>
      <c r="K374" t="str">
        <f t="shared" si="55"/>
        <v>3</v>
      </c>
      <c r="L374" t="str">
        <f t="shared" si="56"/>
        <v>7</v>
      </c>
      <c r="M374" t="str">
        <f t="shared" si="57"/>
        <v>4</v>
      </c>
      <c r="O374" s="69">
        <f t="shared" si="58"/>
        <v>14</v>
      </c>
      <c r="P374">
        <f t="shared" si="53"/>
        <v>84</v>
      </c>
      <c r="Q374" t="str">
        <f t="shared" si="54"/>
        <v xml:space="preserve"> </v>
      </c>
    </row>
    <row r="375" spans="1:17" x14ac:dyDescent="0.25">
      <c r="A375">
        <v>0</v>
      </c>
      <c r="E375">
        <v>375</v>
      </c>
      <c r="G375" t="str">
        <f t="shared" si="50"/>
        <v>3</v>
      </c>
      <c r="H375" t="str">
        <f t="shared" si="51"/>
        <v>7</v>
      </c>
      <c r="I375" t="str">
        <f t="shared" si="52"/>
        <v>5</v>
      </c>
      <c r="K375" t="str">
        <f t="shared" si="55"/>
        <v>3</v>
      </c>
      <c r="L375" t="str">
        <f t="shared" si="56"/>
        <v>7</v>
      </c>
      <c r="M375" t="str">
        <f t="shared" si="57"/>
        <v>5</v>
      </c>
      <c r="O375" s="69">
        <f t="shared" si="58"/>
        <v>15</v>
      </c>
      <c r="P375">
        <f t="shared" si="53"/>
        <v>90</v>
      </c>
      <c r="Q375" t="str">
        <f t="shared" si="54"/>
        <v xml:space="preserve"> </v>
      </c>
    </row>
    <row r="376" spans="1:17" x14ac:dyDescent="0.25">
      <c r="A376">
        <v>0</v>
      </c>
      <c r="E376">
        <v>376</v>
      </c>
      <c r="G376" t="str">
        <f t="shared" si="50"/>
        <v>3</v>
      </c>
      <c r="H376" t="str">
        <f t="shared" si="51"/>
        <v>7</v>
      </c>
      <c r="I376" t="str">
        <f t="shared" si="52"/>
        <v>6</v>
      </c>
      <c r="K376" t="str">
        <f t="shared" si="55"/>
        <v>3</v>
      </c>
      <c r="L376" t="str">
        <f t="shared" si="56"/>
        <v>7</v>
      </c>
      <c r="M376" t="str">
        <f t="shared" si="57"/>
        <v>6</v>
      </c>
      <c r="O376" s="69">
        <f t="shared" si="58"/>
        <v>16</v>
      </c>
      <c r="P376">
        <f t="shared" si="53"/>
        <v>96</v>
      </c>
      <c r="Q376" t="str">
        <f t="shared" si="54"/>
        <v xml:space="preserve"> </v>
      </c>
    </row>
    <row r="377" spans="1:17" x14ac:dyDescent="0.25">
      <c r="A377">
        <v>0</v>
      </c>
      <c r="E377">
        <v>377</v>
      </c>
      <c r="G377" t="str">
        <f t="shared" si="50"/>
        <v>3</v>
      </c>
      <c r="H377" t="str">
        <f t="shared" si="51"/>
        <v>7</v>
      </c>
      <c r="I377" t="str">
        <f t="shared" si="52"/>
        <v>7</v>
      </c>
      <c r="K377" t="str">
        <f t="shared" si="55"/>
        <v>3</v>
      </c>
      <c r="L377" t="str">
        <f t="shared" si="56"/>
        <v>7</v>
      </c>
      <c r="M377" t="str">
        <f t="shared" si="57"/>
        <v>7</v>
      </c>
      <c r="O377" s="69">
        <f t="shared" si="58"/>
        <v>17</v>
      </c>
      <c r="P377">
        <f t="shared" si="53"/>
        <v>102</v>
      </c>
      <c r="Q377" t="str">
        <f t="shared" si="54"/>
        <v xml:space="preserve"> </v>
      </c>
    </row>
    <row r="378" spans="1:17" x14ac:dyDescent="0.25">
      <c r="A378">
        <v>0</v>
      </c>
      <c r="E378">
        <v>378</v>
      </c>
      <c r="G378" t="str">
        <f t="shared" si="50"/>
        <v>3</v>
      </c>
      <c r="H378" t="str">
        <f t="shared" si="51"/>
        <v>7</v>
      </c>
      <c r="I378" t="str">
        <f t="shared" si="52"/>
        <v>8</v>
      </c>
      <c r="K378" t="str">
        <f t="shared" si="55"/>
        <v>3</v>
      </c>
      <c r="L378" t="str">
        <f t="shared" si="56"/>
        <v>7</v>
      </c>
      <c r="M378" t="str">
        <f t="shared" si="57"/>
        <v>8</v>
      </c>
      <c r="O378" s="69">
        <f t="shared" si="58"/>
        <v>18</v>
      </c>
      <c r="P378">
        <f t="shared" si="53"/>
        <v>108</v>
      </c>
      <c r="Q378" t="str">
        <f t="shared" si="54"/>
        <v xml:space="preserve"> </v>
      </c>
    </row>
    <row r="379" spans="1:17" x14ac:dyDescent="0.25">
      <c r="A379">
        <v>0</v>
      </c>
      <c r="E379">
        <v>379</v>
      </c>
      <c r="G379" t="str">
        <f t="shared" si="50"/>
        <v>3</v>
      </c>
      <c r="H379" t="str">
        <f t="shared" si="51"/>
        <v>7</v>
      </c>
      <c r="I379" t="str">
        <f t="shared" si="52"/>
        <v>9</v>
      </c>
      <c r="K379" t="str">
        <f t="shared" si="55"/>
        <v>3</v>
      </c>
      <c r="L379" t="str">
        <f t="shared" si="56"/>
        <v>7</v>
      </c>
      <c r="M379" t="str">
        <f t="shared" si="57"/>
        <v>9</v>
      </c>
      <c r="O379" s="69">
        <f t="shared" si="58"/>
        <v>19</v>
      </c>
      <c r="P379">
        <f t="shared" si="53"/>
        <v>114</v>
      </c>
      <c r="Q379" t="str">
        <f t="shared" si="54"/>
        <v xml:space="preserve"> </v>
      </c>
    </row>
    <row r="380" spans="1:17" x14ac:dyDescent="0.25">
      <c r="A380">
        <v>0</v>
      </c>
      <c r="E380">
        <v>380</v>
      </c>
      <c r="G380" t="str">
        <f t="shared" si="50"/>
        <v>3</v>
      </c>
      <c r="H380" t="str">
        <f t="shared" si="51"/>
        <v>8</v>
      </c>
      <c r="I380" t="str">
        <f t="shared" si="52"/>
        <v>0</v>
      </c>
      <c r="K380" t="str">
        <f t="shared" si="55"/>
        <v>3</v>
      </c>
      <c r="L380" t="str">
        <f t="shared" si="56"/>
        <v>8</v>
      </c>
      <c r="M380" t="str">
        <f t="shared" si="57"/>
        <v>0</v>
      </c>
      <c r="O380" s="69">
        <f t="shared" si="58"/>
        <v>11</v>
      </c>
      <c r="P380">
        <f t="shared" si="53"/>
        <v>66</v>
      </c>
      <c r="Q380" t="str">
        <f t="shared" si="54"/>
        <v xml:space="preserve"> </v>
      </c>
    </row>
    <row r="381" spans="1:17" x14ac:dyDescent="0.25">
      <c r="A381">
        <v>0</v>
      </c>
      <c r="E381">
        <v>381</v>
      </c>
      <c r="G381" t="str">
        <f t="shared" si="50"/>
        <v>3</v>
      </c>
      <c r="H381" t="str">
        <f t="shared" si="51"/>
        <v>8</v>
      </c>
      <c r="I381" t="str">
        <f t="shared" si="52"/>
        <v>1</v>
      </c>
      <c r="K381" t="str">
        <f t="shared" si="55"/>
        <v>3</v>
      </c>
      <c r="L381" t="str">
        <f t="shared" si="56"/>
        <v>8</v>
      </c>
      <c r="M381" t="str">
        <f t="shared" si="57"/>
        <v>1</v>
      </c>
      <c r="O381" s="69">
        <f t="shared" si="58"/>
        <v>12</v>
      </c>
      <c r="P381">
        <f t="shared" si="53"/>
        <v>72</v>
      </c>
      <c r="Q381" t="str">
        <f t="shared" si="54"/>
        <v xml:space="preserve"> </v>
      </c>
    </row>
    <row r="382" spans="1:17" x14ac:dyDescent="0.25">
      <c r="A382">
        <v>0</v>
      </c>
      <c r="E382">
        <v>382</v>
      </c>
      <c r="G382" t="str">
        <f t="shared" si="50"/>
        <v>3</v>
      </c>
      <c r="H382" t="str">
        <f t="shared" si="51"/>
        <v>8</v>
      </c>
      <c r="I382" t="str">
        <f t="shared" si="52"/>
        <v>2</v>
      </c>
      <c r="K382" t="str">
        <f t="shared" si="55"/>
        <v>3</v>
      </c>
      <c r="L382" t="str">
        <f t="shared" si="56"/>
        <v>8</v>
      </c>
      <c r="M382" t="str">
        <f t="shared" si="57"/>
        <v>2</v>
      </c>
      <c r="O382" s="69">
        <f t="shared" si="58"/>
        <v>13</v>
      </c>
      <c r="P382">
        <f t="shared" si="53"/>
        <v>78</v>
      </c>
      <c r="Q382" t="str">
        <f t="shared" si="54"/>
        <v xml:space="preserve"> </v>
      </c>
    </row>
    <row r="383" spans="1:17" x14ac:dyDescent="0.25">
      <c r="A383">
        <v>0</v>
      </c>
      <c r="E383">
        <v>383</v>
      </c>
      <c r="G383" t="str">
        <f t="shared" si="50"/>
        <v>3</v>
      </c>
      <c r="H383" t="str">
        <f t="shared" si="51"/>
        <v>8</v>
      </c>
      <c r="I383" t="str">
        <f t="shared" si="52"/>
        <v>3</v>
      </c>
      <c r="K383" t="str">
        <f t="shared" si="55"/>
        <v>3</v>
      </c>
      <c r="L383" t="str">
        <f t="shared" si="56"/>
        <v>8</v>
      </c>
      <c r="M383" t="str">
        <f t="shared" si="57"/>
        <v>3</v>
      </c>
      <c r="O383" s="69">
        <f t="shared" si="58"/>
        <v>14</v>
      </c>
      <c r="P383">
        <f t="shared" si="53"/>
        <v>84</v>
      </c>
      <c r="Q383" t="str">
        <f t="shared" si="54"/>
        <v xml:space="preserve"> </v>
      </c>
    </row>
    <row r="384" spans="1:17" x14ac:dyDescent="0.25">
      <c r="A384">
        <v>0</v>
      </c>
      <c r="E384">
        <v>384</v>
      </c>
      <c r="G384" t="str">
        <f t="shared" si="50"/>
        <v>3</v>
      </c>
      <c r="H384" t="str">
        <f t="shared" si="51"/>
        <v>8</v>
      </c>
      <c r="I384" t="str">
        <f t="shared" si="52"/>
        <v>4</v>
      </c>
      <c r="K384" t="str">
        <f t="shared" si="55"/>
        <v>3</v>
      </c>
      <c r="L384" t="str">
        <f t="shared" si="56"/>
        <v>8</v>
      </c>
      <c r="M384" t="str">
        <f t="shared" si="57"/>
        <v>4</v>
      </c>
      <c r="O384" s="69">
        <f t="shared" si="58"/>
        <v>15</v>
      </c>
      <c r="P384">
        <f t="shared" si="53"/>
        <v>90</v>
      </c>
      <c r="Q384" t="str">
        <f t="shared" si="54"/>
        <v xml:space="preserve"> </v>
      </c>
    </row>
    <row r="385" spans="1:17" x14ac:dyDescent="0.25">
      <c r="A385">
        <v>0</v>
      </c>
      <c r="E385">
        <v>385</v>
      </c>
      <c r="G385" t="str">
        <f t="shared" si="50"/>
        <v>3</v>
      </c>
      <c r="H385" t="str">
        <f t="shared" si="51"/>
        <v>8</v>
      </c>
      <c r="I385" t="str">
        <f t="shared" si="52"/>
        <v>5</v>
      </c>
      <c r="K385" t="str">
        <f t="shared" si="55"/>
        <v>3</v>
      </c>
      <c r="L385" t="str">
        <f t="shared" si="56"/>
        <v>8</v>
      </c>
      <c r="M385" t="str">
        <f t="shared" si="57"/>
        <v>5</v>
      </c>
      <c r="O385" s="69">
        <f t="shared" si="58"/>
        <v>16</v>
      </c>
      <c r="P385">
        <f t="shared" si="53"/>
        <v>96</v>
      </c>
      <c r="Q385" t="str">
        <f t="shared" si="54"/>
        <v xml:space="preserve"> </v>
      </c>
    </row>
    <row r="386" spans="1:17" x14ac:dyDescent="0.25">
      <c r="A386">
        <v>0</v>
      </c>
      <c r="E386">
        <v>386</v>
      </c>
      <c r="G386" t="str">
        <f t="shared" ref="G386:G449" si="59">+MID(E386,1,1)</f>
        <v>3</v>
      </c>
      <c r="H386" t="str">
        <f t="shared" ref="H386:H449" si="60">+MID(E386,2,1)</f>
        <v>8</v>
      </c>
      <c r="I386" t="str">
        <f t="shared" ref="I386:I449" si="61">+MID(E386,3,1)</f>
        <v>6</v>
      </c>
      <c r="K386" t="str">
        <f t="shared" si="55"/>
        <v>3</v>
      </c>
      <c r="L386" t="str">
        <f t="shared" si="56"/>
        <v>8</v>
      </c>
      <c r="M386" t="str">
        <f t="shared" si="57"/>
        <v>6</v>
      </c>
      <c r="O386" s="69">
        <f t="shared" si="58"/>
        <v>17</v>
      </c>
      <c r="P386">
        <f t="shared" ref="P386:P449" si="62">+O386*6</f>
        <v>102</v>
      </c>
      <c r="Q386" t="str">
        <f t="shared" ref="Q386:Q449" si="63">+IF(P386=E386,"OK"," ")</f>
        <v xml:space="preserve"> </v>
      </c>
    </row>
    <row r="387" spans="1:17" x14ac:dyDescent="0.25">
      <c r="A387">
        <v>0</v>
      </c>
      <c r="E387">
        <v>387</v>
      </c>
      <c r="G387" t="str">
        <f t="shared" si="59"/>
        <v>3</v>
      </c>
      <c r="H387" t="str">
        <f t="shared" si="60"/>
        <v>8</v>
      </c>
      <c r="I387" t="str">
        <f t="shared" si="61"/>
        <v>7</v>
      </c>
      <c r="K387" t="str">
        <f t="shared" si="55"/>
        <v>3</v>
      </c>
      <c r="L387" t="str">
        <f t="shared" si="56"/>
        <v>8</v>
      </c>
      <c r="M387" t="str">
        <f t="shared" si="57"/>
        <v>7</v>
      </c>
      <c r="O387" s="69">
        <f t="shared" si="58"/>
        <v>18</v>
      </c>
      <c r="P387">
        <f t="shared" si="62"/>
        <v>108</v>
      </c>
      <c r="Q387" t="str">
        <f t="shared" si="63"/>
        <v xml:space="preserve"> </v>
      </c>
    </row>
    <row r="388" spans="1:17" x14ac:dyDescent="0.25">
      <c r="A388">
        <v>0</v>
      </c>
      <c r="E388">
        <v>388</v>
      </c>
      <c r="G388" t="str">
        <f t="shared" si="59"/>
        <v>3</v>
      </c>
      <c r="H388" t="str">
        <f t="shared" si="60"/>
        <v>8</v>
      </c>
      <c r="I388" t="str">
        <f t="shared" si="61"/>
        <v>8</v>
      </c>
      <c r="K388" t="str">
        <f t="shared" si="55"/>
        <v>3</v>
      </c>
      <c r="L388" t="str">
        <f t="shared" si="56"/>
        <v>8</v>
      </c>
      <c r="M388" t="str">
        <f t="shared" si="57"/>
        <v>8</v>
      </c>
      <c r="O388" s="69">
        <f t="shared" si="58"/>
        <v>19</v>
      </c>
      <c r="P388">
        <f t="shared" si="62"/>
        <v>114</v>
      </c>
      <c r="Q388" t="str">
        <f t="shared" si="63"/>
        <v xml:space="preserve"> </v>
      </c>
    </row>
    <row r="389" spans="1:17" x14ac:dyDescent="0.25">
      <c r="A389">
        <v>0</v>
      </c>
      <c r="E389">
        <v>389</v>
      </c>
      <c r="G389" t="str">
        <f t="shared" si="59"/>
        <v>3</v>
      </c>
      <c r="H389" t="str">
        <f t="shared" si="60"/>
        <v>8</v>
      </c>
      <c r="I389" t="str">
        <f t="shared" si="61"/>
        <v>9</v>
      </c>
      <c r="K389" t="str">
        <f t="shared" si="55"/>
        <v>3</v>
      </c>
      <c r="L389" t="str">
        <f t="shared" si="56"/>
        <v>8</v>
      </c>
      <c r="M389" t="str">
        <f t="shared" si="57"/>
        <v>9</v>
      </c>
      <c r="O389" s="69">
        <f t="shared" si="58"/>
        <v>20</v>
      </c>
      <c r="P389">
        <f t="shared" si="62"/>
        <v>120</v>
      </c>
      <c r="Q389" t="str">
        <f t="shared" si="63"/>
        <v xml:space="preserve"> </v>
      </c>
    </row>
    <row r="390" spans="1:17" x14ac:dyDescent="0.25">
      <c r="A390">
        <v>0</v>
      </c>
      <c r="E390">
        <v>390</v>
      </c>
      <c r="G390" t="str">
        <f t="shared" si="59"/>
        <v>3</v>
      </c>
      <c r="H390" t="str">
        <f t="shared" si="60"/>
        <v>9</v>
      </c>
      <c r="I390" t="str">
        <f t="shared" si="61"/>
        <v>0</v>
      </c>
      <c r="K390" t="str">
        <f t="shared" si="55"/>
        <v>3</v>
      </c>
      <c r="L390" t="str">
        <f t="shared" si="56"/>
        <v>9</v>
      </c>
      <c r="M390" t="str">
        <f t="shared" si="57"/>
        <v>0</v>
      </c>
      <c r="O390" s="69">
        <f t="shared" si="58"/>
        <v>12</v>
      </c>
      <c r="P390">
        <f t="shared" si="62"/>
        <v>72</v>
      </c>
      <c r="Q390" t="str">
        <f t="shared" si="63"/>
        <v xml:space="preserve"> </v>
      </c>
    </row>
    <row r="391" spans="1:17" x14ac:dyDescent="0.25">
      <c r="A391">
        <v>0</v>
      </c>
      <c r="E391">
        <v>391</v>
      </c>
      <c r="G391" t="str">
        <f t="shared" si="59"/>
        <v>3</v>
      </c>
      <c r="H391" t="str">
        <f t="shared" si="60"/>
        <v>9</v>
      </c>
      <c r="I391" t="str">
        <f t="shared" si="61"/>
        <v>1</v>
      </c>
      <c r="K391" t="str">
        <f t="shared" si="55"/>
        <v>3</v>
      </c>
      <c r="L391" t="str">
        <f t="shared" si="56"/>
        <v>9</v>
      </c>
      <c r="M391" t="str">
        <f t="shared" si="57"/>
        <v>1</v>
      </c>
      <c r="O391" s="69">
        <f t="shared" si="58"/>
        <v>13</v>
      </c>
      <c r="P391">
        <f t="shared" si="62"/>
        <v>78</v>
      </c>
      <c r="Q391" t="str">
        <f t="shared" si="63"/>
        <v xml:space="preserve"> </v>
      </c>
    </row>
    <row r="392" spans="1:17" x14ac:dyDescent="0.25">
      <c r="A392">
        <v>0</v>
      </c>
      <c r="E392">
        <v>392</v>
      </c>
      <c r="G392" t="str">
        <f t="shared" si="59"/>
        <v>3</v>
      </c>
      <c r="H392" t="str">
        <f t="shared" si="60"/>
        <v>9</v>
      </c>
      <c r="I392" t="str">
        <f t="shared" si="61"/>
        <v>2</v>
      </c>
      <c r="K392" t="str">
        <f t="shared" si="55"/>
        <v>3</v>
      </c>
      <c r="L392" t="str">
        <f t="shared" si="56"/>
        <v>9</v>
      </c>
      <c r="M392" t="str">
        <f t="shared" si="57"/>
        <v>2</v>
      </c>
      <c r="O392" s="69">
        <f t="shared" si="58"/>
        <v>14</v>
      </c>
      <c r="P392">
        <f t="shared" si="62"/>
        <v>84</v>
      </c>
      <c r="Q392" t="str">
        <f t="shared" si="63"/>
        <v xml:space="preserve"> </v>
      </c>
    </row>
    <row r="393" spans="1:17" x14ac:dyDescent="0.25">
      <c r="A393">
        <v>0</v>
      </c>
      <c r="E393">
        <v>393</v>
      </c>
      <c r="G393" t="str">
        <f t="shared" si="59"/>
        <v>3</v>
      </c>
      <c r="H393" t="str">
        <f t="shared" si="60"/>
        <v>9</v>
      </c>
      <c r="I393" t="str">
        <f t="shared" si="61"/>
        <v>3</v>
      </c>
      <c r="K393" t="str">
        <f t="shared" si="55"/>
        <v>3</v>
      </c>
      <c r="L393" t="str">
        <f t="shared" si="56"/>
        <v>9</v>
      </c>
      <c r="M393" t="str">
        <f t="shared" si="57"/>
        <v>3</v>
      </c>
      <c r="O393" s="69">
        <f t="shared" si="58"/>
        <v>15</v>
      </c>
      <c r="P393">
        <f t="shared" si="62"/>
        <v>90</v>
      </c>
      <c r="Q393" t="str">
        <f t="shared" si="63"/>
        <v xml:space="preserve"> </v>
      </c>
    </row>
    <row r="394" spans="1:17" x14ac:dyDescent="0.25">
      <c r="A394">
        <v>0</v>
      </c>
      <c r="E394">
        <v>394</v>
      </c>
      <c r="G394" t="str">
        <f t="shared" si="59"/>
        <v>3</v>
      </c>
      <c r="H394" t="str">
        <f t="shared" si="60"/>
        <v>9</v>
      </c>
      <c r="I394" t="str">
        <f t="shared" si="61"/>
        <v>4</v>
      </c>
      <c r="K394" t="str">
        <f t="shared" si="55"/>
        <v>3</v>
      </c>
      <c r="L394" t="str">
        <f t="shared" si="56"/>
        <v>9</v>
      </c>
      <c r="M394" t="str">
        <f t="shared" si="57"/>
        <v>4</v>
      </c>
      <c r="O394" s="69">
        <f t="shared" si="58"/>
        <v>16</v>
      </c>
      <c r="P394">
        <f t="shared" si="62"/>
        <v>96</v>
      </c>
      <c r="Q394" t="str">
        <f t="shared" si="63"/>
        <v xml:space="preserve"> </v>
      </c>
    </row>
    <row r="395" spans="1:17" x14ac:dyDescent="0.25">
      <c r="A395">
        <v>0</v>
      </c>
      <c r="E395">
        <v>395</v>
      </c>
      <c r="G395" t="str">
        <f t="shared" si="59"/>
        <v>3</v>
      </c>
      <c r="H395" t="str">
        <f t="shared" si="60"/>
        <v>9</v>
      </c>
      <c r="I395" t="str">
        <f t="shared" si="61"/>
        <v>5</v>
      </c>
      <c r="K395" t="str">
        <f t="shared" si="55"/>
        <v>3</v>
      </c>
      <c r="L395" t="str">
        <f t="shared" si="56"/>
        <v>9</v>
      </c>
      <c r="M395" t="str">
        <f t="shared" si="57"/>
        <v>5</v>
      </c>
      <c r="O395" s="69">
        <f t="shared" si="58"/>
        <v>17</v>
      </c>
      <c r="P395">
        <f t="shared" si="62"/>
        <v>102</v>
      </c>
      <c r="Q395" t="str">
        <f t="shared" si="63"/>
        <v xml:space="preserve"> </v>
      </c>
    </row>
    <row r="396" spans="1:17" x14ac:dyDescent="0.25">
      <c r="A396">
        <v>0</v>
      </c>
      <c r="E396">
        <v>396</v>
      </c>
      <c r="G396" t="str">
        <f t="shared" si="59"/>
        <v>3</v>
      </c>
      <c r="H396" t="str">
        <f t="shared" si="60"/>
        <v>9</v>
      </c>
      <c r="I396" t="str">
        <f t="shared" si="61"/>
        <v>6</v>
      </c>
      <c r="K396" t="str">
        <f t="shared" si="55"/>
        <v>3</v>
      </c>
      <c r="L396" t="str">
        <f t="shared" si="56"/>
        <v>9</v>
      </c>
      <c r="M396" t="str">
        <f t="shared" si="57"/>
        <v>6</v>
      </c>
      <c r="O396" s="69">
        <f t="shared" si="58"/>
        <v>18</v>
      </c>
      <c r="P396">
        <f t="shared" si="62"/>
        <v>108</v>
      </c>
      <c r="Q396" t="str">
        <f t="shared" si="63"/>
        <v xml:space="preserve"> </v>
      </c>
    </row>
    <row r="397" spans="1:17" x14ac:dyDescent="0.25">
      <c r="A397">
        <v>0</v>
      </c>
      <c r="E397">
        <v>397</v>
      </c>
      <c r="G397" t="str">
        <f t="shared" si="59"/>
        <v>3</v>
      </c>
      <c r="H397" t="str">
        <f t="shared" si="60"/>
        <v>9</v>
      </c>
      <c r="I397" t="str">
        <f t="shared" si="61"/>
        <v>7</v>
      </c>
      <c r="K397" t="str">
        <f t="shared" si="55"/>
        <v>3</v>
      </c>
      <c r="L397" t="str">
        <f t="shared" si="56"/>
        <v>9</v>
      </c>
      <c r="M397" t="str">
        <f t="shared" si="57"/>
        <v>7</v>
      </c>
      <c r="O397" s="69">
        <f t="shared" si="58"/>
        <v>19</v>
      </c>
      <c r="P397">
        <f t="shared" si="62"/>
        <v>114</v>
      </c>
      <c r="Q397" t="str">
        <f t="shared" si="63"/>
        <v xml:space="preserve"> </v>
      </c>
    </row>
    <row r="398" spans="1:17" x14ac:dyDescent="0.25">
      <c r="A398">
        <v>0</v>
      </c>
      <c r="E398">
        <v>398</v>
      </c>
      <c r="G398" t="str">
        <f t="shared" si="59"/>
        <v>3</v>
      </c>
      <c r="H398" t="str">
        <f t="shared" si="60"/>
        <v>9</v>
      </c>
      <c r="I398" t="str">
        <f t="shared" si="61"/>
        <v>8</v>
      </c>
      <c r="K398" t="str">
        <f t="shared" si="55"/>
        <v>3</v>
      </c>
      <c r="L398" t="str">
        <f t="shared" si="56"/>
        <v>9</v>
      </c>
      <c r="M398" t="str">
        <f t="shared" si="57"/>
        <v>8</v>
      </c>
      <c r="O398" s="69">
        <f t="shared" si="58"/>
        <v>20</v>
      </c>
      <c r="P398">
        <f t="shared" si="62"/>
        <v>120</v>
      </c>
      <c r="Q398" t="str">
        <f t="shared" si="63"/>
        <v xml:space="preserve"> </v>
      </c>
    </row>
    <row r="399" spans="1:17" x14ac:dyDescent="0.25">
      <c r="A399">
        <v>0</v>
      </c>
      <c r="E399">
        <v>399</v>
      </c>
      <c r="G399" t="str">
        <f t="shared" si="59"/>
        <v>3</v>
      </c>
      <c r="H399" t="str">
        <f t="shared" si="60"/>
        <v>9</v>
      </c>
      <c r="I399" t="str">
        <f t="shared" si="61"/>
        <v>9</v>
      </c>
      <c r="K399" t="str">
        <f t="shared" si="55"/>
        <v>3</v>
      </c>
      <c r="L399" t="str">
        <f t="shared" si="56"/>
        <v>9</v>
      </c>
      <c r="M399" t="str">
        <f t="shared" si="57"/>
        <v>9</v>
      </c>
      <c r="O399" s="69">
        <f t="shared" si="58"/>
        <v>21</v>
      </c>
      <c r="P399">
        <f t="shared" si="62"/>
        <v>126</v>
      </c>
      <c r="Q399" t="str">
        <f t="shared" si="63"/>
        <v xml:space="preserve"> </v>
      </c>
    </row>
    <row r="400" spans="1:17" x14ac:dyDescent="0.25">
      <c r="A400">
        <v>0</v>
      </c>
      <c r="E400">
        <v>400</v>
      </c>
      <c r="G400" t="str">
        <f t="shared" si="59"/>
        <v>4</v>
      </c>
      <c r="H400" t="str">
        <f t="shared" si="60"/>
        <v>0</v>
      </c>
      <c r="I400" t="str">
        <f t="shared" si="61"/>
        <v>0</v>
      </c>
      <c r="K400" t="str">
        <f t="shared" si="55"/>
        <v>4</v>
      </c>
      <c r="L400" t="str">
        <f t="shared" si="56"/>
        <v>0</v>
      </c>
      <c r="M400" t="str">
        <f t="shared" si="57"/>
        <v>0</v>
      </c>
      <c r="O400" s="69">
        <f t="shared" si="58"/>
        <v>4</v>
      </c>
      <c r="P400">
        <f t="shared" si="62"/>
        <v>24</v>
      </c>
      <c r="Q400" t="str">
        <f t="shared" si="63"/>
        <v xml:space="preserve"> </v>
      </c>
    </row>
    <row r="401" spans="1:17" x14ac:dyDescent="0.25">
      <c r="A401">
        <v>0</v>
      </c>
      <c r="E401">
        <v>401</v>
      </c>
      <c r="G401" t="str">
        <f t="shared" si="59"/>
        <v>4</v>
      </c>
      <c r="H401" t="str">
        <f t="shared" si="60"/>
        <v>0</v>
      </c>
      <c r="I401" t="str">
        <f t="shared" si="61"/>
        <v>1</v>
      </c>
      <c r="K401" t="str">
        <f t="shared" si="55"/>
        <v>4</v>
      </c>
      <c r="L401" t="str">
        <f t="shared" si="56"/>
        <v>0</v>
      </c>
      <c r="M401" t="str">
        <f t="shared" si="57"/>
        <v>1</v>
      </c>
      <c r="O401" s="69">
        <f t="shared" si="58"/>
        <v>5</v>
      </c>
      <c r="P401">
        <f t="shared" si="62"/>
        <v>30</v>
      </c>
      <c r="Q401" t="str">
        <f t="shared" si="63"/>
        <v xml:space="preserve"> </v>
      </c>
    </row>
    <row r="402" spans="1:17" x14ac:dyDescent="0.25">
      <c r="A402">
        <v>0</v>
      </c>
      <c r="E402">
        <v>402</v>
      </c>
      <c r="G402" t="str">
        <f t="shared" si="59"/>
        <v>4</v>
      </c>
      <c r="H402" t="str">
        <f t="shared" si="60"/>
        <v>0</v>
      </c>
      <c r="I402" t="str">
        <f t="shared" si="61"/>
        <v>2</v>
      </c>
      <c r="K402" t="str">
        <f t="shared" ref="K402:K465" si="64">+G402</f>
        <v>4</v>
      </c>
      <c r="L402" t="str">
        <f t="shared" ref="L402:L465" si="65">+H402</f>
        <v>0</v>
      </c>
      <c r="M402" t="str">
        <f t="shared" ref="M402:M465" si="66">+I402</f>
        <v>2</v>
      </c>
      <c r="O402" s="69">
        <f t="shared" si="58"/>
        <v>6</v>
      </c>
      <c r="P402">
        <f t="shared" si="62"/>
        <v>36</v>
      </c>
      <c r="Q402" t="str">
        <f t="shared" si="63"/>
        <v xml:space="preserve"> </v>
      </c>
    </row>
    <row r="403" spans="1:17" x14ac:dyDescent="0.25">
      <c r="A403">
        <v>0</v>
      </c>
      <c r="E403">
        <v>403</v>
      </c>
      <c r="G403" t="str">
        <f t="shared" si="59"/>
        <v>4</v>
      </c>
      <c r="H403" t="str">
        <f t="shared" si="60"/>
        <v>0</v>
      </c>
      <c r="I403" t="str">
        <f t="shared" si="61"/>
        <v>3</v>
      </c>
      <c r="K403" t="str">
        <f t="shared" si="64"/>
        <v>4</v>
      </c>
      <c r="L403" t="str">
        <f t="shared" si="65"/>
        <v>0</v>
      </c>
      <c r="M403" t="str">
        <f t="shared" si="66"/>
        <v>3</v>
      </c>
      <c r="O403" s="69">
        <f t="shared" si="58"/>
        <v>7</v>
      </c>
      <c r="P403">
        <f t="shared" si="62"/>
        <v>42</v>
      </c>
      <c r="Q403" t="str">
        <f t="shared" si="63"/>
        <v xml:space="preserve"> </v>
      </c>
    </row>
    <row r="404" spans="1:17" x14ac:dyDescent="0.25">
      <c r="A404">
        <v>0</v>
      </c>
      <c r="E404">
        <v>404</v>
      </c>
      <c r="G404" t="str">
        <f t="shared" si="59"/>
        <v>4</v>
      </c>
      <c r="H404" t="str">
        <f t="shared" si="60"/>
        <v>0</v>
      </c>
      <c r="I404" t="str">
        <f t="shared" si="61"/>
        <v>4</v>
      </c>
      <c r="K404" t="str">
        <f t="shared" si="64"/>
        <v>4</v>
      </c>
      <c r="L404" t="str">
        <f t="shared" si="65"/>
        <v>0</v>
      </c>
      <c r="M404" t="str">
        <f t="shared" si="66"/>
        <v>4</v>
      </c>
      <c r="O404" s="69">
        <f t="shared" si="58"/>
        <v>8</v>
      </c>
      <c r="P404">
        <f t="shared" si="62"/>
        <v>48</v>
      </c>
      <c r="Q404" t="str">
        <f t="shared" si="63"/>
        <v xml:space="preserve"> </v>
      </c>
    </row>
    <row r="405" spans="1:17" x14ac:dyDescent="0.25">
      <c r="A405">
        <v>0</v>
      </c>
      <c r="E405">
        <v>405</v>
      </c>
      <c r="G405" t="str">
        <f t="shared" si="59"/>
        <v>4</v>
      </c>
      <c r="H405" t="str">
        <f t="shared" si="60"/>
        <v>0</v>
      </c>
      <c r="I405" t="str">
        <f t="shared" si="61"/>
        <v>5</v>
      </c>
      <c r="K405" t="str">
        <f t="shared" si="64"/>
        <v>4</v>
      </c>
      <c r="L405" t="str">
        <f t="shared" si="65"/>
        <v>0</v>
      </c>
      <c r="M405" t="str">
        <f t="shared" si="66"/>
        <v>5</v>
      </c>
      <c r="O405" s="69">
        <f t="shared" si="58"/>
        <v>9</v>
      </c>
      <c r="P405">
        <f t="shared" si="62"/>
        <v>54</v>
      </c>
      <c r="Q405" t="str">
        <f t="shared" si="63"/>
        <v xml:space="preserve"> </v>
      </c>
    </row>
    <row r="406" spans="1:17" x14ac:dyDescent="0.25">
      <c r="A406">
        <v>0</v>
      </c>
      <c r="E406">
        <v>406</v>
      </c>
      <c r="G406" t="str">
        <f t="shared" si="59"/>
        <v>4</v>
      </c>
      <c r="H406" t="str">
        <f t="shared" si="60"/>
        <v>0</v>
      </c>
      <c r="I406" t="str">
        <f t="shared" si="61"/>
        <v>6</v>
      </c>
      <c r="K406" t="str">
        <f t="shared" si="64"/>
        <v>4</v>
      </c>
      <c r="L406" t="str">
        <f t="shared" si="65"/>
        <v>0</v>
      </c>
      <c r="M406" t="str">
        <f t="shared" si="66"/>
        <v>6</v>
      </c>
      <c r="O406" s="69">
        <f t="shared" si="58"/>
        <v>10</v>
      </c>
      <c r="P406">
        <f t="shared" si="62"/>
        <v>60</v>
      </c>
      <c r="Q406" t="str">
        <f t="shared" si="63"/>
        <v xml:space="preserve"> </v>
      </c>
    </row>
    <row r="407" spans="1:17" x14ac:dyDescent="0.25">
      <c r="A407">
        <v>0</v>
      </c>
      <c r="E407">
        <v>407</v>
      </c>
      <c r="G407" t="str">
        <f t="shared" si="59"/>
        <v>4</v>
      </c>
      <c r="H407" t="str">
        <f t="shared" si="60"/>
        <v>0</v>
      </c>
      <c r="I407" t="str">
        <f t="shared" si="61"/>
        <v>7</v>
      </c>
      <c r="K407" t="str">
        <f t="shared" si="64"/>
        <v>4</v>
      </c>
      <c r="L407" t="str">
        <f t="shared" si="65"/>
        <v>0</v>
      </c>
      <c r="M407" t="str">
        <f t="shared" si="66"/>
        <v>7</v>
      </c>
      <c r="O407" s="69">
        <f t="shared" si="58"/>
        <v>11</v>
      </c>
      <c r="P407">
        <f t="shared" si="62"/>
        <v>66</v>
      </c>
      <c r="Q407" t="str">
        <f t="shared" si="63"/>
        <v xml:space="preserve"> </v>
      </c>
    </row>
    <row r="408" spans="1:17" x14ac:dyDescent="0.25">
      <c r="A408">
        <v>0</v>
      </c>
      <c r="E408">
        <v>408</v>
      </c>
      <c r="G408" t="str">
        <f t="shared" si="59"/>
        <v>4</v>
      </c>
      <c r="H408" t="str">
        <f t="shared" si="60"/>
        <v>0</v>
      </c>
      <c r="I408" t="str">
        <f t="shared" si="61"/>
        <v>8</v>
      </c>
      <c r="K408" t="str">
        <f t="shared" si="64"/>
        <v>4</v>
      </c>
      <c r="L408" t="str">
        <f t="shared" si="65"/>
        <v>0</v>
      </c>
      <c r="M408" t="str">
        <f t="shared" si="66"/>
        <v>8</v>
      </c>
      <c r="O408" s="69">
        <f t="shared" si="58"/>
        <v>12</v>
      </c>
      <c r="P408">
        <f t="shared" si="62"/>
        <v>72</v>
      </c>
      <c r="Q408" t="str">
        <f t="shared" si="63"/>
        <v xml:space="preserve"> </v>
      </c>
    </row>
    <row r="409" spans="1:17" x14ac:dyDescent="0.25">
      <c r="A409">
        <v>0</v>
      </c>
      <c r="E409">
        <v>409</v>
      </c>
      <c r="G409" t="str">
        <f t="shared" si="59"/>
        <v>4</v>
      </c>
      <c r="H409" t="str">
        <f t="shared" si="60"/>
        <v>0</v>
      </c>
      <c r="I409" t="str">
        <f t="shared" si="61"/>
        <v>9</v>
      </c>
      <c r="K409" t="str">
        <f t="shared" si="64"/>
        <v>4</v>
      </c>
      <c r="L409" t="str">
        <f t="shared" si="65"/>
        <v>0</v>
      </c>
      <c r="M409" t="str">
        <f t="shared" si="66"/>
        <v>9</v>
      </c>
      <c r="O409" s="69">
        <f t="shared" si="58"/>
        <v>13</v>
      </c>
      <c r="P409">
        <f t="shared" si="62"/>
        <v>78</v>
      </c>
      <c r="Q409" t="str">
        <f t="shared" si="63"/>
        <v xml:space="preserve"> </v>
      </c>
    </row>
    <row r="410" spans="1:17" x14ac:dyDescent="0.25">
      <c r="A410">
        <v>0</v>
      </c>
      <c r="E410">
        <v>410</v>
      </c>
      <c r="G410" t="str">
        <f t="shared" si="59"/>
        <v>4</v>
      </c>
      <c r="H410" t="str">
        <f t="shared" si="60"/>
        <v>1</v>
      </c>
      <c r="I410" t="str">
        <f t="shared" si="61"/>
        <v>0</v>
      </c>
      <c r="K410" t="str">
        <f t="shared" si="64"/>
        <v>4</v>
      </c>
      <c r="L410" t="str">
        <f t="shared" si="65"/>
        <v>1</v>
      </c>
      <c r="M410" t="str">
        <f t="shared" si="66"/>
        <v>0</v>
      </c>
      <c r="O410" s="69">
        <f t="shared" si="58"/>
        <v>5</v>
      </c>
      <c r="P410">
        <f t="shared" si="62"/>
        <v>30</v>
      </c>
      <c r="Q410" t="str">
        <f t="shared" si="63"/>
        <v xml:space="preserve"> </v>
      </c>
    </row>
    <row r="411" spans="1:17" x14ac:dyDescent="0.25">
      <c r="A411">
        <v>0</v>
      </c>
      <c r="E411">
        <v>411</v>
      </c>
      <c r="G411" t="str">
        <f t="shared" si="59"/>
        <v>4</v>
      </c>
      <c r="H411" t="str">
        <f t="shared" si="60"/>
        <v>1</v>
      </c>
      <c r="I411" t="str">
        <f t="shared" si="61"/>
        <v>1</v>
      </c>
      <c r="K411" t="str">
        <f t="shared" si="64"/>
        <v>4</v>
      </c>
      <c r="L411" t="str">
        <f t="shared" si="65"/>
        <v>1</v>
      </c>
      <c r="M411" t="str">
        <f t="shared" si="66"/>
        <v>1</v>
      </c>
      <c r="O411" s="69">
        <f t="shared" si="58"/>
        <v>6</v>
      </c>
      <c r="P411">
        <f t="shared" si="62"/>
        <v>36</v>
      </c>
      <c r="Q411" t="str">
        <f t="shared" si="63"/>
        <v xml:space="preserve"> </v>
      </c>
    </row>
    <row r="412" spans="1:17" x14ac:dyDescent="0.25">
      <c r="A412">
        <v>0</v>
      </c>
      <c r="E412">
        <v>412</v>
      </c>
      <c r="G412" t="str">
        <f t="shared" si="59"/>
        <v>4</v>
      </c>
      <c r="H412" t="str">
        <f t="shared" si="60"/>
        <v>1</v>
      </c>
      <c r="I412" t="str">
        <f t="shared" si="61"/>
        <v>2</v>
      </c>
      <c r="K412" t="str">
        <f t="shared" si="64"/>
        <v>4</v>
      </c>
      <c r="L412" t="str">
        <f t="shared" si="65"/>
        <v>1</v>
      </c>
      <c r="M412" t="str">
        <f t="shared" si="66"/>
        <v>2</v>
      </c>
      <c r="O412" s="69">
        <f t="shared" si="58"/>
        <v>7</v>
      </c>
      <c r="P412">
        <f t="shared" si="62"/>
        <v>42</v>
      </c>
      <c r="Q412" t="str">
        <f t="shared" si="63"/>
        <v xml:space="preserve"> </v>
      </c>
    </row>
    <row r="413" spans="1:17" x14ac:dyDescent="0.25">
      <c r="A413">
        <v>0</v>
      </c>
      <c r="E413">
        <v>413</v>
      </c>
      <c r="G413" t="str">
        <f t="shared" si="59"/>
        <v>4</v>
      </c>
      <c r="H413" t="str">
        <f t="shared" si="60"/>
        <v>1</v>
      </c>
      <c r="I413" t="str">
        <f t="shared" si="61"/>
        <v>3</v>
      </c>
      <c r="K413" t="str">
        <f t="shared" si="64"/>
        <v>4</v>
      </c>
      <c r="L413" t="str">
        <f t="shared" si="65"/>
        <v>1</v>
      </c>
      <c r="M413" t="str">
        <f t="shared" si="66"/>
        <v>3</v>
      </c>
      <c r="O413" s="69">
        <f t="shared" si="58"/>
        <v>8</v>
      </c>
      <c r="P413">
        <f t="shared" si="62"/>
        <v>48</v>
      </c>
      <c r="Q413" t="str">
        <f t="shared" si="63"/>
        <v xml:space="preserve"> </v>
      </c>
    </row>
    <row r="414" spans="1:17" x14ac:dyDescent="0.25">
      <c r="A414">
        <v>0</v>
      </c>
      <c r="E414">
        <v>414</v>
      </c>
      <c r="G414" t="str">
        <f t="shared" si="59"/>
        <v>4</v>
      </c>
      <c r="H414" t="str">
        <f t="shared" si="60"/>
        <v>1</v>
      </c>
      <c r="I414" t="str">
        <f t="shared" si="61"/>
        <v>4</v>
      </c>
      <c r="K414" t="str">
        <f t="shared" si="64"/>
        <v>4</v>
      </c>
      <c r="L414" t="str">
        <f t="shared" si="65"/>
        <v>1</v>
      </c>
      <c r="M414" t="str">
        <f t="shared" si="66"/>
        <v>4</v>
      </c>
      <c r="O414" s="69">
        <f t="shared" si="58"/>
        <v>9</v>
      </c>
      <c r="P414">
        <f t="shared" si="62"/>
        <v>54</v>
      </c>
      <c r="Q414" t="str">
        <f t="shared" si="63"/>
        <v xml:space="preserve"> </v>
      </c>
    </row>
    <row r="415" spans="1:17" x14ac:dyDescent="0.25">
      <c r="A415">
        <v>0</v>
      </c>
      <c r="E415">
        <v>415</v>
      </c>
      <c r="G415" t="str">
        <f t="shared" si="59"/>
        <v>4</v>
      </c>
      <c r="H415" t="str">
        <f t="shared" si="60"/>
        <v>1</v>
      </c>
      <c r="I415" t="str">
        <f t="shared" si="61"/>
        <v>5</v>
      </c>
      <c r="K415" t="str">
        <f t="shared" si="64"/>
        <v>4</v>
      </c>
      <c r="L415" t="str">
        <f t="shared" si="65"/>
        <v>1</v>
      </c>
      <c r="M415" t="str">
        <f t="shared" si="66"/>
        <v>5</v>
      </c>
      <c r="O415" s="69">
        <f t="shared" si="58"/>
        <v>10</v>
      </c>
      <c r="P415">
        <f t="shared" si="62"/>
        <v>60</v>
      </c>
      <c r="Q415" t="str">
        <f t="shared" si="63"/>
        <v xml:space="preserve"> </v>
      </c>
    </row>
    <row r="416" spans="1:17" x14ac:dyDescent="0.25">
      <c r="A416">
        <v>0</v>
      </c>
      <c r="E416">
        <v>416</v>
      </c>
      <c r="G416" t="str">
        <f t="shared" si="59"/>
        <v>4</v>
      </c>
      <c r="H416" t="str">
        <f t="shared" si="60"/>
        <v>1</v>
      </c>
      <c r="I416" t="str">
        <f t="shared" si="61"/>
        <v>6</v>
      </c>
      <c r="K416" t="str">
        <f t="shared" si="64"/>
        <v>4</v>
      </c>
      <c r="L416" t="str">
        <f t="shared" si="65"/>
        <v>1</v>
      </c>
      <c r="M416" t="str">
        <f t="shared" si="66"/>
        <v>6</v>
      </c>
      <c r="O416" s="69">
        <f t="shared" si="58"/>
        <v>11</v>
      </c>
      <c r="P416">
        <f t="shared" si="62"/>
        <v>66</v>
      </c>
      <c r="Q416" t="str">
        <f t="shared" si="63"/>
        <v xml:space="preserve"> </v>
      </c>
    </row>
    <row r="417" spans="1:17" x14ac:dyDescent="0.25">
      <c r="A417">
        <v>0</v>
      </c>
      <c r="E417">
        <v>417</v>
      </c>
      <c r="G417" t="str">
        <f t="shared" si="59"/>
        <v>4</v>
      </c>
      <c r="H417" t="str">
        <f t="shared" si="60"/>
        <v>1</v>
      </c>
      <c r="I417" t="str">
        <f t="shared" si="61"/>
        <v>7</v>
      </c>
      <c r="K417" t="str">
        <f t="shared" si="64"/>
        <v>4</v>
      </c>
      <c r="L417" t="str">
        <f t="shared" si="65"/>
        <v>1</v>
      </c>
      <c r="M417" t="str">
        <f t="shared" si="66"/>
        <v>7</v>
      </c>
      <c r="O417" s="69">
        <f t="shared" si="58"/>
        <v>12</v>
      </c>
      <c r="P417">
        <f t="shared" si="62"/>
        <v>72</v>
      </c>
      <c r="Q417" t="str">
        <f t="shared" si="63"/>
        <v xml:space="preserve"> </v>
      </c>
    </row>
    <row r="418" spans="1:17" x14ac:dyDescent="0.25">
      <c r="A418">
        <v>0</v>
      </c>
      <c r="E418">
        <v>418</v>
      </c>
      <c r="G418" t="str">
        <f t="shared" si="59"/>
        <v>4</v>
      </c>
      <c r="H418" t="str">
        <f t="shared" si="60"/>
        <v>1</v>
      </c>
      <c r="I418" t="str">
        <f t="shared" si="61"/>
        <v>8</v>
      </c>
      <c r="K418" t="str">
        <f t="shared" si="64"/>
        <v>4</v>
      </c>
      <c r="L418" t="str">
        <f t="shared" si="65"/>
        <v>1</v>
      </c>
      <c r="M418" t="str">
        <f t="shared" si="66"/>
        <v>8</v>
      </c>
      <c r="O418" s="69">
        <f t="shared" si="58"/>
        <v>13</v>
      </c>
      <c r="P418">
        <f t="shared" si="62"/>
        <v>78</v>
      </c>
      <c r="Q418" t="str">
        <f t="shared" si="63"/>
        <v xml:space="preserve"> </v>
      </c>
    </row>
    <row r="419" spans="1:17" x14ac:dyDescent="0.25">
      <c r="A419">
        <v>0</v>
      </c>
      <c r="E419">
        <v>419</v>
      </c>
      <c r="G419" t="str">
        <f t="shared" si="59"/>
        <v>4</v>
      </c>
      <c r="H419" t="str">
        <f t="shared" si="60"/>
        <v>1</v>
      </c>
      <c r="I419" t="str">
        <f t="shared" si="61"/>
        <v>9</v>
      </c>
      <c r="K419" t="str">
        <f t="shared" si="64"/>
        <v>4</v>
      </c>
      <c r="L419" t="str">
        <f t="shared" si="65"/>
        <v>1</v>
      </c>
      <c r="M419" t="str">
        <f t="shared" si="66"/>
        <v>9</v>
      </c>
      <c r="O419" s="69">
        <f t="shared" si="58"/>
        <v>14</v>
      </c>
      <c r="P419">
        <f t="shared" si="62"/>
        <v>84</v>
      </c>
      <c r="Q419" t="str">
        <f t="shared" si="63"/>
        <v xml:space="preserve"> </v>
      </c>
    </row>
    <row r="420" spans="1:17" x14ac:dyDescent="0.25">
      <c r="A420">
        <v>0</v>
      </c>
      <c r="E420">
        <v>420</v>
      </c>
      <c r="G420" t="str">
        <f t="shared" si="59"/>
        <v>4</v>
      </c>
      <c r="H420" t="str">
        <f t="shared" si="60"/>
        <v>2</v>
      </c>
      <c r="I420" t="str">
        <f t="shared" si="61"/>
        <v>0</v>
      </c>
      <c r="K420" t="str">
        <f t="shared" si="64"/>
        <v>4</v>
      </c>
      <c r="L420" t="str">
        <f t="shared" si="65"/>
        <v>2</v>
      </c>
      <c r="M420" t="str">
        <f t="shared" si="66"/>
        <v>0</v>
      </c>
      <c r="O420" s="69">
        <f t="shared" si="58"/>
        <v>6</v>
      </c>
      <c r="P420">
        <f t="shared" si="62"/>
        <v>36</v>
      </c>
      <c r="Q420" t="str">
        <f t="shared" si="63"/>
        <v xml:space="preserve"> </v>
      </c>
    </row>
    <row r="421" spans="1:17" x14ac:dyDescent="0.25">
      <c r="A421">
        <v>0</v>
      </c>
      <c r="E421">
        <v>421</v>
      </c>
      <c r="G421" t="str">
        <f t="shared" si="59"/>
        <v>4</v>
      </c>
      <c r="H421" t="str">
        <f t="shared" si="60"/>
        <v>2</v>
      </c>
      <c r="I421" t="str">
        <f t="shared" si="61"/>
        <v>1</v>
      </c>
      <c r="K421" t="str">
        <f t="shared" si="64"/>
        <v>4</v>
      </c>
      <c r="L421" t="str">
        <f t="shared" si="65"/>
        <v>2</v>
      </c>
      <c r="M421" t="str">
        <f t="shared" si="66"/>
        <v>1</v>
      </c>
      <c r="O421" s="69">
        <f t="shared" ref="O421:O484" si="67">+K421+L421+M421</f>
        <v>7</v>
      </c>
      <c r="P421">
        <f t="shared" si="62"/>
        <v>42</v>
      </c>
      <c r="Q421" t="str">
        <f t="shared" si="63"/>
        <v xml:space="preserve"> </v>
      </c>
    </row>
    <row r="422" spans="1:17" x14ac:dyDescent="0.25">
      <c r="A422">
        <v>0</v>
      </c>
      <c r="E422">
        <v>422</v>
      </c>
      <c r="G422" t="str">
        <f t="shared" si="59"/>
        <v>4</v>
      </c>
      <c r="H422" t="str">
        <f t="shared" si="60"/>
        <v>2</v>
      </c>
      <c r="I422" t="str">
        <f t="shared" si="61"/>
        <v>2</v>
      </c>
      <c r="K422" t="str">
        <f t="shared" si="64"/>
        <v>4</v>
      </c>
      <c r="L422" t="str">
        <f t="shared" si="65"/>
        <v>2</v>
      </c>
      <c r="M422" t="str">
        <f t="shared" si="66"/>
        <v>2</v>
      </c>
      <c r="O422" s="69">
        <f t="shared" si="67"/>
        <v>8</v>
      </c>
      <c r="P422">
        <f t="shared" si="62"/>
        <v>48</v>
      </c>
      <c r="Q422" t="str">
        <f t="shared" si="63"/>
        <v xml:space="preserve"> </v>
      </c>
    </row>
    <row r="423" spans="1:17" x14ac:dyDescent="0.25">
      <c r="A423">
        <v>0</v>
      </c>
      <c r="E423">
        <v>423</v>
      </c>
      <c r="G423" t="str">
        <f t="shared" si="59"/>
        <v>4</v>
      </c>
      <c r="H423" t="str">
        <f t="shared" si="60"/>
        <v>2</v>
      </c>
      <c r="I423" t="str">
        <f t="shared" si="61"/>
        <v>3</v>
      </c>
      <c r="K423" t="str">
        <f t="shared" si="64"/>
        <v>4</v>
      </c>
      <c r="L423" t="str">
        <f t="shared" si="65"/>
        <v>2</v>
      </c>
      <c r="M423" t="str">
        <f t="shared" si="66"/>
        <v>3</v>
      </c>
      <c r="O423" s="69">
        <f t="shared" si="67"/>
        <v>9</v>
      </c>
      <c r="P423">
        <f t="shared" si="62"/>
        <v>54</v>
      </c>
      <c r="Q423" t="str">
        <f t="shared" si="63"/>
        <v xml:space="preserve"> </v>
      </c>
    </row>
    <row r="424" spans="1:17" x14ac:dyDescent="0.25">
      <c r="A424">
        <v>0</v>
      </c>
      <c r="E424">
        <v>424</v>
      </c>
      <c r="G424" t="str">
        <f t="shared" si="59"/>
        <v>4</v>
      </c>
      <c r="H424" t="str">
        <f t="shared" si="60"/>
        <v>2</v>
      </c>
      <c r="I424" t="str">
        <f t="shared" si="61"/>
        <v>4</v>
      </c>
      <c r="K424" t="str">
        <f t="shared" si="64"/>
        <v>4</v>
      </c>
      <c r="L424" t="str">
        <f t="shared" si="65"/>
        <v>2</v>
      </c>
      <c r="M424" t="str">
        <f t="shared" si="66"/>
        <v>4</v>
      </c>
      <c r="O424" s="69">
        <f t="shared" si="67"/>
        <v>10</v>
      </c>
      <c r="P424">
        <f t="shared" si="62"/>
        <v>60</v>
      </c>
      <c r="Q424" t="str">
        <f t="shared" si="63"/>
        <v xml:space="preserve"> </v>
      </c>
    </row>
    <row r="425" spans="1:17" x14ac:dyDescent="0.25">
      <c r="A425">
        <v>0</v>
      </c>
      <c r="E425">
        <v>425</v>
      </c>
      <c r="G425" t="str">
        <f t="shared" si="59"/>
        <v>4</v>
      </c>
      <c r="H425" t="str">
        <f t="shared" si="60"/>
        <v>2</v>
      </c>
      <c r="I425" t="str">
        <f t="shared" si="61"/>
        <v>5</v>
      </c>
      <c r="K425" t="str">
        <f t="shared" si="64"/>
        <v>4</v>
      </c>
      <c r="L425" t="str">
        <f t="shared" si="65"/>
        <v>2</v>
      </c>
      <c r="M425" t="str">
        <f t="shared" si="66"/>
        <v>5</v>
      </c>
      <c r="O425" s="69">
        <f t="shared" si="67"/>
        <v>11</v>
      </c>
      <c r="P425">
        <f t="shared" si="62"/>
        <v>66</v>
      </c>
      <c r="Q425" t="str">
        <f t="shared" si="63"/>
        <v xml:space="preserve"> </v>
      </c>
    </row>
    <row r="426" spans="1:17" x14ac:dyDescent="0.25">
      <c r="A426">
        <v>0</v>
      </c>
      <c r="E426">
        <v>426</v>
      </c>
      <c r="G426" t="str">
        <f t="shared" si="59"/>
        <v>4</v>
      </c>
      <c r="H426" t="str">
        <f t="shared" si="60"/>
        <v>2</v>
      </c>
      <c r="I426" t="str">
        <f t="shared" si="61"/>
        <v>6</v>
      </c>
      <c r="K426" t="str">
        <f t="shared" si="64"/>
        <v>4</v>
      </c>
      <c r="L426" t="str">
        <f t="shared" si="65"/>
        <v>2</v>
      </c>
      <c r="M426" t="str">
        <f t="shared" si="66"/>
        <v>6</v>
      </c>
      <c r="O426" s="69">
        <f t="shared" si="67"/>
        <v>12</v>
      </c>
      <c r="P426">
        <f t="shared" si="62"/>
        <v>72</v>
      </c>
      <c r="Q426" t="str">
        <f t="shared" si="63"/>
        <v xml:space="preserve"> </v>
      </c>
    </row>
    <row r="427" spans="1:17" x14ac:dyDescent="0.25">
      <c r="A427">
        <v>0</v>
      </c>
      <c r="E427">
        <v>427</v>
      </c>
      <c r="G427" t="str">
        <f t="shared" si="59"/>
        <v>4</v>
      </c>
      <c r="H427" t="str">
        <f t="shared" si="60"/>
        <v>2</v>
      </c>
      <c r="I427" t="str">
        <f t="shared" si="61"/>
        <v>7</v>
      </c>
      <c r="K427" t="str">
        <f t="shared" si="64"/>
        <v>4</v>
      </c>
      <c r="L427" t="str">
        <f t="shared" si="65"/>
        <v>2</v>
      </c>
      <c r="M427" t="str">
        <f t="shared" si="66"/>
        <v>7</v>
      </c>
      <c r="O427" s="69">
        <f t="shared" si="67"/>
        <v>13</v>
      </c>
      <c r="P427">
        <f t="shared" si="62"/>
        <v>78</v>
      </c>
      <c r="Q427" t="str">
        <f t="shared" si="63"/>
        <v xml:space="preserve"> </v>
      </c>
    </row>
    <row r="428" spans="1:17" x14ac:dyDescent="0.25">
      <c r="A428">
        <v>0</v>
      </c>
      <c r="E428">
        <v>428</v>
      </c>
      <c r="G428" t="str">
        <f t="shared" si="59"/>
        <v>4</v>
      </c>
      <c r="H428" t="str">
        <f t="shared" si="60"/>
        <v>2</v>
      </c>
      <c r="I428" t="str">
        <f t="shared" si="61"/>
        <v>8</v>
      </c>
      <c r="K428" t="str">
        <f t="shared" si="64"/>
        <v>4</v>
      </c>
      <c r="L428" t="str">
        <f t="shared" si="65"/>
        <v>2</v>
      </c>
      <c r="M428" t="str">
        <f t="shared" si="66"/>
        <v>8</v>
      </c>
      <c r="O428" s="69">
        <f t="shared" si="67"/>
        <v>14</v>
      </c>
      <c r="P428">
        <f t="shared" si="62"/>
        <v>84</v>
      </c>
      <c r="Q428" t="str">
        <f t="shared" si="63"/>
        <v xml:space="preserve"> </v>
      </c>
    </row>
    <row r="429" spans="1:17" x14ac:dyDescent="0.25">
      <c r="A429">
        <v>0</v>
      </c>
      <c r="E429">
        <v>429</v>
      </c>
      <c r="G429" t="str">
        <f t="shared" si="59"/>
        <v>4</v>
      </c>
      <c r="H429" t="str">
        <f t="shared" si="60"/>
        <v>2</v>
      </c>
      <c r="I429" t="str">
        <f t="shared" si="61"/>
        <v>9</v>
      </c>
      <c r="K429" t="str">
        <f t="shared" si="64"/>
        <v>4</v>
      </c>
      <c r="L429" t="str">
        <f t="shared" si="65"/>
        <v>2</v>
      </c>
      <c r="M429" t="str">
        <f t="shared" si="66"/>
        <v>9</v>
      </c>
      <c r="O429" s="69">
        <f t="shared" si="67"/>
        <v>15</v>
      </c>
      <c r="P429">
        <f t="shared" si="62"/>
        <v>90</v>
      </c>
      <c r="Q429" t="str">
        <f t="shared" si="63"/>
        <v xml:space="preserve"> </v>
      </c>
    </row>
    <row r="430" spans="1:17" x14ac:dyDescent="0.25">
      <c r="A430">
        <v>0</v>
      </c>
      <c r="E430">
        <v>430</v>
      </c>
      <c r="G430" t="str">
        <f t="shared" si="59"/>
        <v>4</v>
      </c>
      <c r="H430" t="str">
        <f t="shared" si="60"/>
        <v>3</v>
      </c>
      <c r="I430" t="str">
        <f t="shared" si="61"/>
        <v>0</v>
      </c>
      <c r="K430" t="str">
        <f t="shared" si="64"/>
        <v>4</v>
      </c>
      <c r="L430" t="str">
        <f t="shared" si="65"/>
        <v>3</v>
      </c>
      <c r="M430" t="str">
        <f t="shared" si="66"/>
        <v>0</v>
      </c>
      <c r="O430" s="69">
        <f t="shared" si="67"/>
        <v>7</v>
      </c>
      <c r="P430">
        <f t="shared" si="62"/>
        <v>42</v>
      </c>
      <c r="Q430" t="str">
        <f t="shared" si="63"/>
        <v xml:space="preserve"> </v>
      </c>
    </row>
    <row r="431" spans="1:17" x14ac:dyDescent="0.25">
      <c r="A431">
        <v>0</v>
      </c>
      <c r="E431">
        <v>431</v>
      </c>
      <c r="G431" t="str">
        <f t="shared" si="59"/>
        <v>4</v>
      </c>
      <c r="H431" t="str">
        <f t="shared" si="60"/>
        <v>3</v>
      </c>
      <c r="I431" t="str">
        <f t="shared" si="61"/>
        <v>1</v>
      </c>
      <c r="K431" t="str">
        <f t="shared" si="64"/>
        <v>4</v>
      </c>
      <c r="L431" t="str">
        <f t="shared" si="65"/>
        <v>3</v>
      </c>
      <c r="M431" t="str">
        <f t="shared" si="66"/>
        <v>1</v>
      </c>
      <c r="O431" s="69">
        <f t="shared" si="67"/>
        <v>8</v>
      </c>
      <c r="P431">
        <f t="shared" si="62"/>
        <v>48</v>
      </c>
      <c r="Q431" t="str">
        <f t="shared" si="63"/>
        <v xml:space="preserve"> </v>
      </c>
    </row>
    <row r="432" spans="1:17" x14ac:dyDescent="0.25">
      <c r="A432">
        <v>0</v>
      </c>
      <c r="E432">
        <v>432</v>
      </c>
      <c r="G432" t="str">
        <f t="shared" si="59"/>
        <v>4</v>
      </c>
      <c r="H432" t="str">
        <f t="shared" si="60"/>
        <v>3</v>
      </c>
      <c r="I432" t="str">
        <f t="shared" si="61"/>
        <v>2</v>
      </c>
      <c r="K432" t="str">
        <f t="shared" si="64"/>
        <v>4</v>
      </c>
      <c r="L432" t="str">
        <f t="shared" si="65"/>
        <v>3</v>
      </c>
      <c r="M432" t="str">
        <f t="shared" si="66"/>
        <v>2</v>
      </c>
      <c r="O432" s="69">
        <f t="shared" si="67"/>
        <v>9</v>
      </c>
      <c r="P432">
        <f t="shared" si="62"/>
        <v>54</v>
      </c>
      <c r="Q432" t="str">
        <f t="shared" si="63"/>
        <v xml:space="preserve"> </v>
      </c>
    </row>
    <row r="433" spans="1:17" x14ac:dyDescent="0.25">
      <c r="A433">
        <v>0</v>
      </c>
      <c r="E433">
        <v>433</v>
      </c>
      <c r="G433" t="str">
        <f t="shared" si="59"/>
        <v>4</v>
      </c>
      <c r="H433" t="str">
        <f t="shared" si="60"/>
        <v>3</v>
      </c>
      <c r="I433" t="str">
        <f t="shared" si="61"/>
        <v>3</v>
      </c>
      <c r="K433" t="str">
        <f t="shared" si="64"/>
        <v>4</v>
      </c>
      <c r="L433" t="str">
        <f t="shared" si="65"/>
        <v>3</v>
      </c>
      <c r="M433" t="str">
        <f t="shared" si="66"/>
        <v>3</v>
      </c>
      <c r="O433" s="69">
        <f t="shared" si="67"/>
        <v>10</v>
      </c>
      <c r="P433">
        <f t="shared" si="62"/>
        <v>60</v>
      </c>
      <c r="Q433" t="str">
        <f t="shared" si="63"/>
        <v xml:space="preserve"> </v>
      </c>
    </row>
    <row r="434" spans="1:17" x14ac:dyDescent="0.25">
      <c r="A434">
        <v>0</v>
      </c>
      <c r="E434">
        <v>434</v>
      </c>
      <c r="G434" t="str">
        <f t="shared" si="59"/>
        <v>4</v>
      </c>
      <c r="H434" t="str">
        <f t="shared" si="60"/>
        <v>3</v>
      </c>
      <c r="I434" t="str">
        <f t="shared" si="61"/>
        <v>4</v>
      </c>
      <c r="K434" t="str">
        <f t="shared" si="64"/>
        <v>4</v>
      </c>
      <c r="L434" t="str">
        <f t="shared" si="65"/>
        <v>3</v>
      </c>
      <c r="M434" t="str">
        <f t="shared" si="66"/>
        <v>4</v>
      </c>
      <c r="O434" s="69">
        <f t="shared" si="67"/>
        <v>11</v>
      </c>
      <c r="P434">
        <f t="shared" si="62"/>
        <v>66</v>
      </c>
      <c r="Q434" t="str">
        <f t="shared" si="63"/>
        <v xml:space="preserve"> </v>
      </c>
    </row>
    <row r="435" spans="1:17" x14ac:dyDescent="0.25">
      <c r="A435">
        <v>0</v>
      </c>
      <c r="E435">
        <v>435</v>
      </c>
      <c r="G435" t="str">
        <f t="shared" si="59"/>
        <v>4</v>
      </c>
      <c r="H435" t="str">
        <f t="shared" si="60"/>
        <v>3</v>
      </c>
      <c r="I435" t="str">
        <f t="shared" si="61"/>
        <v>5</v>
      </c>
      <c r="K435" t="str">
        <f t="shared" si="64"/>
        <v>4</v>
      </c>
      <c r="L435" t="str">
        <f t="shared" si="65"/>
        <v>3</v>
      </c>
      <c r="M435" t="str">
        <f t="shared" si="66"/>
        <v>5</v>
      </c>
      <c r="O435" s="69">
        <f t="shared" si="67"/>
        <v>12</v>
      </c>
      <c r="P435">
        <f t="shared" si="62"/>
        <v>72</v>
      </c>
      <c r="Q435" t="str">
        <f t="shared" si="63"/>
        <v xml:space="preserve"> </v>
      </c>
    </row>
    <row r="436" spans="1:17" x14ac:dyDescent="0.25">
      <c r="A436">
        <v>0</v>
      </c>
      <c r="E436">
        <v>436</v>
      </c>
      <c r="G436" t="str">
        <f t="shared" si="59"/>
        <v>4</v>
      </c>
      <c r="H436" t="str">
        <f t="shared" si="60"/>
        <v>3</v>
      </c>
      <c r="I436" t="str">
        <f t="shared" si="61"/>
        <v>6</v>
      </c>
      <c r="K436" t="str">
        <f t="shared" si="64"/>
        <v>4</v>
      </c>
      <c r="L436" t="str">
        <f t="shared" si="65"/>
        <v>3</v>
      </c>
      <c r="M436" t="str">
        <f t="shared" si="66"/>
        <v>6</v>
      </c>
      <c r="O436" s="69">
        <f t="shared" si="67"/>
        <v>13</v>
      </c>
      <c r="P436">
        <f t="shared" si="62"/>
        <v>78</v>
      </c>
      <c r="Q436" t="str">
        <f t="shared" si="63"/>
        <v xml:space="preserve"> </v>
      </c>
    </row>
    <row r="437" spans="1:17" x14ac:dyDescent="0.25">
      <c r="A437">
        <v>0</v>
      </c>
      <c r="E437">
        <v>437</v>
      </c>
      <c r="G437" t="str">
        <f t="shared" si="59"/>
        <v>4</v>
      </c>
      <c r="H437" t="str">
        <f t="shared" si="60"/>
        <v>3</v>
      </c>
      <c r="I437" t="str">
        <f t="shared" si="61"/>
        <v>7</v>
      </c>
      <c r="K437" t="str">
        <f t="shared" si="64"/>
        <v>4</v>
      </c>
      <c r="L437" t="str">
        <f t="shared" si="65"/>
        <v>3</v>
      </c>
      <c r="M437" t="str">
        <f t="shared" si="66"/>
        <v>7</v>
      </c>
      <c r="O437" s="69">
        <f t="shared" si="67"/>
        <v>14</v>
      </c>
      <c r="P437">
        <f t="shared" si="62"/>
        <v>84</v>
      </c>
      <c r="Q437" t="str">
        <f t="shared" si="63"/>
        <v xml:space="preserve"> </v>
      </c>
    </row>
    <row r="438" spans="1:17" x14ac:dyDescent="0.25">
      <c r="A438">
        <v>0</v>
      </c>
      <c r="E438">
        <v>438</v>
      </c>
      <c r="G438" t="str">
        <f t="shared" si="59"/>
        <v>4</v>
      </c>
      <c r="H438" t="str">
        <f t="shared" si="60"/>
        <v>3</v>
      </c>
      <c r="I438" t="str">
        <f t="shared" si="61"/>
        <v>8</v>
      </c>
      <c r="K438" t="str">
        <f t="shared" si="64"/>
        <v>4</v>
      </c>
      <c r="L438" t="str">
        <f t="shared" si="65"/>
        <v>3</v>
      </c>
      <c r="M438" t="str">
        <f t="shared" si="66"/>
        <v>8</v>
      </c>
      <c r="O438" s="69">
        <f t="shared" si="67"/>
        <v>15</v>
      </c>
      <c r="P438">
        <f t="shared" si="62"/>
        <v>90</v>
      </c>
      <c r="Q438" t="str">
        <f t="shared" si="63"/>
        <v xml:space="preserve"> </v>
      </c>
    </row>
    <row r="439" spans="1:17" x14ac:dyDescent="0.25">
      <c r="A439">
        <v>0</v>
      </c>
      <c r="E439">
        <v>439</v>
      </c>
      <c r="G439" t="str">
        <f t="shared" si="59"/>
        <v>4</v>
      </c>
      <c r="H439" t="str">
        <f t="shared" si="60"/>
        <v>3</v>
      </c>
      <c r="I439" t="str">
        <f t="shared" si="61"/>
        <v>9</v>
      </c>
      <c r="K439" t="str">
        <f t="shared" si="64"/>
        <v>4</v>
      </c>
      <c r="L439" t="str">
        <f t="shared" si="65"/>
        <v>3</v>
      </c>
      <c r="M439" t="str">
        <f t="shared" si="66"/>
        <v>9</v>
      </c>
      <c r="O439" s="69">
        <f t="shared" si="67"/>
        <v>16</v>
      </c>
      <c r="P439">
        <f t="shared" si="62"/>
        <v>96</v>
      </c>
      <c r="Q439" t="str">
        <f t="shared" si="63"/>
        <v xml:space="preserve"> </v>
      </c>
    </row>
    <row r="440" spans="1:17" x14ac:dyDescent="0.25">
      <c r="A440">
        <v>0</v>
      </c>
      <c r="E440">
        <v>440</v>
      </c>
      <c r="G440" t="str">
        <f t="shared" si="59"/>
        <v>4</v>
      </c>
      <c r="H440" t="str">
        <f t="shared" si="60"/>
        <v>4</v>
      </c>
      <c r="I440" t="str">
        <f t="shared" si="61"/>
        <v>0</v>
      </c>
      <c r="K440" t="str">
        <f t="shared" si="64"/>
        <v>4</v>
      </c>
      <c r="L440" t="str">
        <f t="shared" si="65"/>
        <v>4</v>
      </c>
      <c r="M440" t="str">
        <f t="shared" si="66"/>
        <v>0</v>
      </c>
      <c r="O440" s="69">
        <f t="shared" si="67"/>
        <v>8</v>
      </c>
      <c r="P440">
        <f t="shared" si="62"/>
        <v>48</v>
      </c>
      <c r="Q440" t="str">
        <f t="shared" si="63"/>
        <v xml:space="preserve"> </v>
      </c>
    </row>
    <row r="441" spans="1:17" x14ac:dyDescent="0.25">
      <c r="A441">
        <v>0</v>
      </c>
      <c r="E441">
        <v>441</v>
      </c>
      <c r="G441" t="str">
        <f t="shared" si="59"/>
        <v>4</v>
      </c>
      <c r="H441" t="str">
        <f t="shared" si="60"/>
        <v>4</v>
      </c>
      <c r="I441" t="str">
        <f t="shared" si="61"/>
        <v>1</v>
      </c>
      <c r="K441" t="str">
        <f t="shared" si="64"/>
        <v>4</v>
      </c>
      <c r="L441" t="str">
        <f t="shared" si="65"/>
        <v>4</v>
      </c>
      <c r="M441" t="str">
        <f t="shared" si="66"/>
        <v>1</v>
      </c>
      <c r="O441" s="69">
        <f t="shared" si="67"/>
        <v>9</v>
      </c>
      <c r="P441">
        <f t="shared" si="62"/>
        <v>54</v>
      </c>
      <c r="Q441" t="str">
        <f t="shared" si="63"/>
        <v xml:space="preserve"> </v>
      </c>
    </row>
    <row r="442" spans="1:17" x14ac:dyDescent="0.25">
      <c r="A442">
        <v>0</v>
      </c>
      <c r="E442">
        <v>442</v>
      </c>
      <c r="G442" t="str">
        <f t="shared" si="59"/>
        <v>4</v>
      </c>
      <c r="H442" t="str">
        <f t="shared" si="60"/>
        <v>4</v>
      </c>
      <c r="I442" t="str">
        <f t="shared" si="61"/>
        <v>2</v>
      </c>
      <c r="K442" t="str">
        <f t="shared" si="64"/>
        <v>4</v>
      </c>
      <c r="L442" t="str">
        <f t="shared" si="65"/>
        <v>4</v>
      </c>
      <c r="M442" t="str">
        <f t="shared" si="66"/>
        <v>2</v>
      </c>
      <c r="O442" s="69">
        <f t="shared" si="67"/>
        <v>10</v>
      </c>
      <c r="P442">
        <f t="shared" si="62"/>
        <v>60</v>
      </c>
      <c r="Q442" t="str">
        <f t="shared" si="63"/>
        <v xml:space="preserve"> </v>
      </c>
    </row>
    <row r="443" spans="1:17" x14ac:dyDescent="0.25">
      <c r="A443">
        <v>0</v>
      </c>
      <c r="E443">
        <v>443</v>
      </c>
      <c r="G443" t="str">
        <f t="shared" si="59"/>
        <v>4</v>
      </c>
      <c r="H443" t="str">
        <f t="shared" si="60"/>
        <v>4</v>
      </c>
      <c r="I443" t="str">
        <f t="shared" si="61"/>
        <v>3</v>
      </c>
      <c r="K443" t="str">
        <f t="shared" si="64"/>
        <v>4</v>
      </c>
      <c r="L443" t="str">
        <f t="shared" si="65"/>
        <v>4</v>
      </c>
      <c r="M443" t="str">
        <f t="shared" si="66"/>
        <v>3</v>
      </c>
      <c r="O443" s="69">
        <f t="shared" si="67"/>
        <v>11</v>
      </c>
      <c r="P443">
        <f t="shared" si="62"/>
        <v>66</v>
      </c>
      <c r="Q443" t="str">
        <f t="shared" si="63"/>
        <v xml:space="preserve"> </v>
      </c>
    </row>
    <row r="444" spans="1:17" x14ac:dyDescent="0.25">
      <c r="A444">
        <v>0</v>
      </c>
      <c r="E444">
        <v>444</v>
      </c>
      <c r="G444" t="str">
        <f t="shared" si="59"/>
        <v>4</v>
      </c>
      <c r="H444" t="str">
        <f t="shared" si="60"/>
        <v>4</v>
      </c>
      <c r="I444" t="str">
        <f t="shared" si="61"/>
        <v>4</v>
      </c>
      <c r="K444" t="str">
        <f t="shared" si="64"/>
        <v>4</v>
      </c>
      <c r="L444" t="str">
        <f t="shared" si="65"/>
        <v>4</v>
      </c>
      <c r="M444" t="str">
        <f t="shared" si="66"/>
        <v>4</v>
      </c>
      <c r="O444" s="69">
        <f t="shared" si="67"/>
        <v>12</v>
      </c>
      <c r="P444">
        <f t="shared" si="62"/>
        <v>72</v>
      </c>
      <c r="Q444" t="str">
        <f t="shared" si="63"/>
        <v xml:space="preserve"> </v>
      </c>
    </row>
    <row r="445" spans="1:17" x14ac:dyDescent="0.25">
      <c r="A445">
        <v>0</v>
      </c>
      <c r="E445">
        <v>445</v>
      </c>
      <c r="G445" t="str">
        <f t="shared" si="59"/>
        <v>4</v>
      </c>
      <c r="H445" t="str">
        <f t="shared" si="60"/>
        <v>4</v>
      </c>
      <c r="I445" t="str">
        <f t="shared" si="61"/>
        <v>5</v>
      </c>
      <c r="K445" t="str">
        <f t="shared" si="64"/>
        <v>4</v>
      </c>
      <c r="L445" t="str">
        <f t="shared" si="65"/>
        <v>4</v>
      </c>
      <c r="M445" t="str">
        <f t="shared" si="66"/>
        <v>5</v>
      </c>
      <c r="O445" s="69">
        <f t="shared" si="67"/>
        <v>13</v>
      </c>
      <c r="P445">
        <f t="shared" si="62"/>
        <v>78</v>
      </c>
      <c r="Q445" t="str">
        <f t="shared" si="63"/>
        <v xml:space="preserve"> </v>
      </c>
    </row>
    <row r="446" spans="1:17" x14ac:dyDescent="0.25">
      <c r="A446">
        <v>0</v>
      </c>
      <c r="E446">
        <v>446</v>
      </c>
      <c r="G446" t="str">
        <f t="shared" si="59"/>
        <v>4</v>
      </c>
      <c r="H446" t="str">
        <f t="shared" si="60"/>
        <v>4</v>
      </c>
      <c r="I446" t="str">
        <f t="shared" si="61"/>
        <v>6</v>
      </c>
      <c r="K446" t="str">
        <f t="shared" si="64"/>
        <v>4</v>
      </c>
      <c r="L446" t="str">
        <f t="shared" si="65"/>
        <v>4</v>
      </c>
      <c r="M446" t="str">
        <f t="shared" si="66"/>
        <v>6</v>
      </c>
      <c r="O446" s="69">
        <f t="shared" si="67"/>
        <v>14</v>
      </c>
      <c r="P446">
        <f t="shared" si="62"/>
        <v>84</v>
      </c>
      <c r="Q446" t="str">
        <f t="shared" si="63"/>
        <v xml:space="preserve"> </v>
      </c>
    </row>
    <row r="447" spans="1:17" x14ac:dyDescent="0.25">
      <c r="A447">
        <v>0</v>
      </c>
      <c r="E447">
        <v>447</v>
      </c>
      <c r="G447" t="str">
        <f t="shared" si="59"/>
        <v>4</v>
      </c>
      <c r="H447" t="str">
        <f t="shared" si="60"/>
        <v>4</v>
      </c>
      <c r="I447" t="str">
        <f t="shared" si="61"/>
        <v>7</v>
      </c>
      <c r="K447" t="str">
        <f t="shared" si="64"/>
        <v>4</v>
      </c>
      <c r="L447" t="str">
        <f t="shared" si="65"/>
        <v>4</v>
      </c>
      <c r="M447" t="str">
        <f t="shared" si="66"/>
        <v>7</v>
      </c>
      <c r="O447" s="69">
        <f t="shared" si="67"/>
        <v>15</v>
      </c>
      <c r="P447">
        <f t="shared" si="62"/>
        <v>90</v>
      </c>
      <c r="Q447" t="str">
        <f t="shared" si="63"/>
        <v xml:space="preserve"> </v>
      </c>
    </row>
    <row r="448" spans="1:17" x14ac:dyDescent="0.25">
      <c r="A448">
        <v>0</v>
      </c>
      <c r="E448">
        <v>448</v>
      </c>
      <c r="G448" t="str">
        <f t="shared" si="59"/>
        <v>4</v>
      </c>
      <c r="H448" t="str">
        <f t="shared" si="60"/>
        <v>4</v>
      </c>
      <c r="I448" t="str">
        <f t="shared" si="61"/>
        <v>8</v>
      </c>
      <c r="K448" t="str">
        <f t="shared" si="64"/>
        <v>4</v>
      </c>
      <c r="L448" t="str">
        <f t="shared" si="65"/>
        <v>4</v>
      </c>
      <c r="M448" t="str">
        <f t="shared" si="66"/>
        <v>8</v>
      </c>
      <c r="O448" s="69">
        <f t="shared" si="67"/>
        <v>16</v>
      </c>
      <c r="P448">
        <f t="shared" si="62"/>
        <v>96</v>
      </c>
      <c r="Q448" t="str">
        <f t="shared" si="63"/>
        <v xml:space="preserve"> </v>
      </c>
    </row>
    <row r="449" spans="1:17" x14ac:dyDescent="0.25">
      <c r="A449">
        <v>0</v>
      </c>
      <c r="E449">
        <v>449</v>
      </c>
      <c r="G449" t="str">
        <f t="shared" si="59"/>
        <v>4</v>
      </c>
      <c r="H449" t="str">
        <f t="shared" si="60"/>
        <v>4</v>
      </c>
      <c r="I449" t="str">
        <f t="shared" si="61"/>
        <v>9</v>
      </c>
      <c r="K449" t="str">
        <f t="shared" si="64"/>
        <v>4</v>
      </c>
      <c r="L449" t="str">
        <f t="shared" si="65"/>
        <v>4</v>
      </c>
      <c r="M449" t="str">
        <f t="shared" si="66"/>
        <v>9</v>
      </c>
      <c r="O449" s="69">
        <f t="shared" si="67"/>
        <v>17</v>
      </c>
      <c r="P449">
        <f t="shared" si="62"/>
        <v>102</v>
      </c>
      <c r="Q449" t="str">
        <f t="shared" si="63"/>
        <v xml:space="preserve"> </v>
      </c>
    </row>
    <row r="450" spans="1:17" x14ac:dyDescent="0.25">
      <c r="A450">
        <v>0</v>
      </c>
      <c r="E450">
        <v>450</v>
      </c>
      <c r="G450" t="str">
        <f t="shared" ref="G450:G513" si="68">+MID(E450,1,1)</f>
        <v>4</v>
      </c>
      <c r="H450" t="str">
        <f t="shared" ref="H450:H513" si="69">+MID(E450,2,1)</f>
        <v>5</v>
      </c>
      <c r="I450" t="str">
        <f t="shared" ref="I450:I513" si="70">+MID(E450,3,1)</f>
        <v>0</v>
      </c>
      <c r="K450" t="str">
        <f t="shared" si="64"/>
        <v>4</v>
      </c>
      <c r="L450" t="str">
        <f t="shared" si="65"/>
        <v>5</v>
      </c>
      <c r="M450" t="str">
        <f t="shared" si="66"/>
        <v>0</v>
      </c>
      <c r="O450" s="69">
        <f t="shared" si="67"/>
        <v>9</v>
      </c>
      <c r="P450">
        <f t="shared" ref="P450:P513" si="71">+O450*6</f>
        <v>54</v>
      </c>
      <c r="Q450" t="str">
        <f t="shared" ref="Q450:Q513" si="72">+IF(P450=E450,"OK"," ")</f>
        <v xml:space="preserve"> </v>
      </c>
    </row>
    <row r="451" spans="1:17" x14ac:dyDescent="0.25">
      <c r="A451">
        <v>0</v>
      </c>
      <c r="E451">
        <v>451</v>
      </c>
      <c r="G451" t="str">
        <f t="shared" si="68"/>
        <v>4</v>
      </c>
      <c r="H451" t="str">
        <f t="shared" si="69"/>
        <v>5</v>
      </c>
      <c r="I451" t="str">
        <f t="shared" si="70"/>
        <v>1</v>
      </c>
      <c r="K451" t="str">
        <f t="shared" si="64"/>
        <v>4</v>
      </c>
      <c r="L451" t="str">
        <f t="shared" si="65"/>
        <v>5</v>
      </c>
      <c r="M451" t="str">
        <f t="shared" si="66"/>
        <v>1</v>
      </c>
      <c r="O451" s="69">
        <f t="shared" si="67"/>
        <v>10</v>
      </c>
      <c r="P451">
        <f t="shared" si="71"/>
        <v>60</v>
      </c>
      <c r="Q451" t="str">
        <f t="shared" si="72"/>
        <v xml:space="preserve"> </v>
      </c>
    </row>
    <row r="452" spans="1:17" x14ac:dyDescent="0.25">
      <c r="A452">
        <v>0</v>
      </c>
      <c r="E452">
        <v>452</v>
      </c>
      <c r="G452" t="str">
        <f t="shared" si="68"/>
        <v>4</v>
      </c>
      <c r="H452" t="str">
        <f t="shared" si="69"/>
        <v>5</v>
      </c>
      <c r="I452" t="str">
        <f t="shared" si="70"/>
        <v>2</v>
      </c>
      <c r="K452" t="str">
        <f t="shared" si="64"/>
        <v>4</v>
      </c>
      <c r="L452" t="str">
        <f t="shared" si="65"/>
        <v>5</v>
      </c>
      <c r="M452" t="str">
        <f t="shared" si="66"/>
        <v>2</v>
      </c>
      <c r="O452" s="69">
        <f t="shared" si="67"/>
        <v>11</v>
      </c>
      <c r="P452">
        <f t="shared" si="71"/>
        <v>66</v>
      </c>
      <c r="Q452" t="str">
        <f t="shared" si="72"/>
        <v xml:space="preserve"> </v>
      </c>
    </row>
    <row r="453" spans="1:17" x14ac:dyDescent="0.25">
      <c r="A453">
        <v>0</v>
      </c>
      <c r="E453">
        <v>453</v>
      </c>
      <c r="G453" t="str">
        <f t="shared" si="68"/>
        <v>4</v>
      </c>
      <c r="H453" t="str">
        <f t="shared" si="69"/>
        <v>5</v>
      </c>
      <c r="I453" t="str">
        <f t="shared" si="70"/>
        <v>3</v>
      </c>
      <c r="K453" t="str">
        <f t="shared" si="64"/>
        <v>4</v>
      </c>
      <c r="L453" t="str">
        <f t="shared" si="65"/>
        <v>5</v>
      </c>
      <c r="M453" t="str">
        <f t="shared" si="66"/>
        <v>3</v>
      </c>
      <c r="O453" s="69">
        <f t="shared" si="67"/>
        <v>12</v>
      </c>
      <c r="P453">
        <f t="shared" si="71"/>
        <v>72</v>
      </c>
      <c r="Q453" t="str">
        <f t="shared" si="72"/>
        <v xml:space="preserve"> </v>
      </c>
    </row>
    <row r="454" spans="1:17" x14ac:dyDescent="0.25">
      <c r="A454">
        <v>0</v>
      </c>
      <c r="E454">
        <v>454</v>
      </c>
      <c r="G454" t="str">
        <f t="shared" si="68"/>
        <v>4</v>
      </c>
      <c r="H454" t="str">
        <f t="shared" si="69"/>
        <v>5</v>
      </c>
      <c r="I454" t="str">
        <f t="shared" si="70"/>
        <v>4</v>
      </c>
      <c r="K454" t="str">
        <f t="shared" si="64"/>
        <v>4</v>
      </c>
      <c r="L454" t="str">
        <f t="shared" si="65"/>
        <v>5</v>
      </c>
      <c r="M454" t="str">
        <f t="shared" si="66"/>
        <v>4</v>
      </c>
      <c r="O454" s="69">
        <f t="shared" si="67"/>
        <v>13</v>
      </c>
      <c r="P454">
        <f t="shared" si="71"/>
        <v>78</v>
      </c>
      <c r="Q454" t="str">
        <f t="shared" si="72"/>
        <v xml:space="preserve"> </v>
      </c>
    </row>
    <row r="455" spans="1:17" x14ac:dyDescent="0.25">
      <c r="A455">
        <v>0</v>
      </c>
      <c r="E455">
        <v>455</v>
      </c>
      <c r="G455" t="str">
        <f t="shared" si="68"/>
        <v>4</v>
      </c>
      <c r="H455" t="str">
        <f t="shared" si="69"/>
        <v>5</v>
      </c>
      <c r="I455" t="str">
        <f t="shared" si="70"/>
        <v>5</v>
      </c>
      <c r="K455" t="str">
        <f t="shared" si="64"/>
        <v>4</v>
      </c>
      <c r="L455" t="str">
        <f t="shared" si="65"/>
        <v>5</v>
      </c>
      <c r="M455" t="str">
        <f t="shared" si="66"/>
        <v>5</v>
      </c>
      <c r="O455" s="69">
        <f t="shared" si="67"/>
        <v>14</v>
      </c>
      <c r="P455">
        <f t="shared" si="71"/>
        <v>84</v>
      </c>
      <c r="Q455" t="str">
        <f t="shared" si="72"/>
        <v xml:space="preserve"> </v>
      </c>
    </row>
    <row r="456" spans="1:17" x14ac:dyDescent="0.25">
      <c r="A456">
        <v>0</v>
      </c>
      <c r="E456">
        <v>456</v>
      </c>
      <c r="G456" t="str">
        <f t="shared" si="68"/>
        <v>4</v>
      </c>
      <c r="H456" t="str">
        <f t="shared" si="69"/>
        <v>5</v>
      </c>
      <c r="I456" t="str">
        <f t="shared" si="70"/>
        <v>6</v>
      </c>
      <c r="K456" t="str">
        <f t="shared" si="64"/>
        <v>4</v>
      </c>
      <c r="L456" t="str">
        <f t="shared" si="65"/>
        <v>5</v>
      </c>
      <c r="M456" t="str">
        <f t="shared" si="66"/>
        <v>6</v>
      </c>
      <c r="O456" s="69">
        <f t="shared" si="67"/>
        <v>15</v>
      </c>
      <c r="P456">
        <f t="shared" si="71"/>
        <v>90</v>
      </c>
      <c r="Q456" t="str">
        <f t="shared" si="72"/>
        <v xml:space="preserve"> </v>
      </c>
    </row>
    <row r="457" spans="1:17" x14ac:dyDescent="0.25">
      <c r="A457">
        <v>0</v>
      </c>
      <c r="E457">
        <v>457</v>
      </c>
      <c r="G457" t="str">
        <f t="shared" si="68"/>
        <v>4</v>
      </c>
      <c r="H457" t="str">
        <f t="shared" si="69"/>
        <v>5</v>
      </c>
      <c r="I457" t="str">
        <f t="shared" si="70"/>
        <v>7</v>
      </c>
      <c r="K457" t="str">
        <f t="shared" si="64"/>
        <v>4</v>
      </c>
      <c r="L457" t="str">
        <f t="shared" si="65"/>
        <v>5</v>
      </c>
      <c r="M457" t="str">
        <f t="shared" si="66"/>
        <v>7</v>
      </c>
      <c r="O457" s="69">
        <f t="shared" si="67"/>
        <v>16</v>
      </c>
      <c r="P457">
        <f t="shared" si="71"/>
        <v>96</v>
      </c>
      <c r="Q457" t="str">
        <f t="shared" si="72"/>
        <v xml:space="preserve"> </v>
      </c>
    </row>
    <row r="458" spans="1:17" x14ac:dyDescent="0.25">
      <c r="A458">
        <v>0</v>
      </c>
      <c r="E458">
        <v>458</v>
      </c>
      <c r="G458" t="str">
        <f t="shared" si="68"/>
        <v>4</v>
      </c>
      <c r="H458" t="str">
        <f t="shared" si="69"/>
        <v>5</v>
      </c>
      <c r="I458" t="str">
        <f t="shared" si="70"/>
        <v>8</v>
      </c>
      <c r="K458" t="str">
        <f t="shared" si="64"/>
        <v>4</v>
      </c>
      <c r="L458" t="str">
        <f t="shared" si="65"/>
        <v>5</v>
      </c>
      <c r="M458" t="str">
        <f t="shared" si="66"/>
        <v>8</v>
      </c>
      <c r="O458" s="69">
        <f t="shared" si="67"/>
        <v>17</v>
      </c>
      <c r="P458">
        <f t="shared" si="71"/>
        <v>102</v>
      </c>
      <c r="Q458" t="str">
        <f t="shared" si="72"/>
        <v xml:space="preserve"> </v>
      </c>
    </row>
    <row r="459" spans="1:17" x14ac:dyDescent="0.25">
      <c r="A459">
        <v>0</v>
      </c>
      <c r="E459">
        <v>459</v>
      </c>
      <c r="G459" t="str">
        <f t="shared" si="68"/>
        <v>4</v>
      </c>
      <c r="H459" t="str">
        <f t="shared" si="69"/>
        <v>5</v>
      </c>
      <c r="I459" t="str">
        <f t="shared" si="70"/>
        <v>9</v>
      </c>
      <c r="K459" t="str">
        <f t="shared" si="64"/>
        <v>4</v>
      </c>
      <c r="L459" t="str">
        <f t="shared" si="65"/>
        <v>5</v>
      </c>
      <c r="M459" t="str">
        <f t="shared" si="66"/>
        <v>9</v>
      </c>
      <c r="O459" s="69">
        <f t="shared" si="67"/>
        <v>18</v>
      </c>
      <c r="P459">
        <f t="shared" si="71"/>
        <v>108</v>
      </c>
      <c r="Q459" t="str">
        <f t="shared" si="72"/>
        <v xml:space="preserve"> </v>
      </c>
    </row>
    <row r="460" spans="1:17" x14ac:dyDescent="0.25">
      <c r="A460">
        <v>0</v>
      </c>
      <c r="E460">
        <v>460</v>
      </c>
      <c r="G460" t="str">
        <f t="shared" si="68"/>
        <v>4</v>
      </c>
      <c r="H460" t="str">
        <f t="shared" si="69"/>
        <v>6</v>
      </c>
      <c r="I460" t="str">
        <f t="shared" si="70"/>
        <v>0</v>
      </c>
      <c r="K460" t="str">
        <f t="shared" si="64"/>
        <v>4</v>
      </c>
      <c r="L460" t="str">
        <f t="shared" si="65"/>
        <v>6</v>
      </c>
      <c r="M460" t="str">
        <f t="shared" si="66"/>
        <v>0</v>
      </c>
      <c r="O460" s="69">
        <f t="shared" si="67"/>
        <v>10</v>
      </c>
      <c r="P460">
        <f t="shared" si="71"/>
        <v>60</v>
      </c>
      <c r="Q460" t="str">
        <f t="shared" si="72"/>
        <v xml:space="preserve"> </v>
      </c>
    </row>
    <row r="461" spans="1:17" x14ac:dyDescent="0.25">
      <c r="A461">
        <v>0</v>
      </c>
      <c r="E461">
        <v>461</v>
      </c>
      <c r="G461" t="str">
        <f t="shared" si="68"/>
        <v>4</v>
      </c>
      <c r="H461" t="str">
        <f t="shared" si="69"/>
        <v>6</v>
      </c>
      <c r="I461" t="str">
        <f t="shared" si="70"/>
        <v>1</v>
      </c>
      <c r="K461" t="str">
        <f t="shared" si="64"/>
        <v>4</v>
      </c>
      <c r="L461" t="str">
        <f t="shared" si="65"/>
        <v>6</v>
      </c>
      <c r="M461" t="str">
        <f t="shared" si="66"/>
        <v>1</v>
      </c>
      <c r="O461" s="69">
        <f t="shared" si="67"/>
        <v>11</v>
      </c>
      <c r="P461">
        <f t="shared" si="71"/>
        <v>66</v>
      </c>
      <c r="Q461" t="str">
        <f t="shared" si="72"/>
        <v xml:space="preserve"> </v>
      </c>
    </row>
    <row r="462" spans="1:17" x14ac:dyDescent="0.25">
      <c r="A462">
        <v>0</v>
      </c>
      <c r="E462">
        <v>462</v>
      </c>
      <c r="G462" t="str">
        <f t="shared" si="68"/>
        <v>4</v>
      </c>
      <c r="H462" t="str">
        <f t="shared" si="69"/>
        <v>6</v>
      </c>
      <c r="I462" t="str">
        <f t="shared" si="70"/>
        <v>2</v>
      </c>
      <c r="K462" t="str">
        <f t="shared" si="64"/>
        <v>4</v>
      </c>
      <c r="L462" t="str">
        <f t="shared" si="65"/>
        <v>6</v>
      </c>
      <c r="M462" t="str">
        <f t="shared" si="66"/>
        <v>2</v>
      </c>
      <c r="O462" s="69">
        <f t="shared" si="67"/>
        <v>12</v>
      </c>
      <c r="P462">
        <f t="shared" si="71"/>
        <v>72</v>
      </c>
      <c r="Q462" t="str">
        <f t="shared" si="72"/>
        <v xml:space="preserve"> </v>
      </c>
    </row>
    <row r="463" spans="1:17" x14ac:dyDescent="0.25">
      <c r="A463">
        <v>0</v>
      </c>
      <c r="E463">
        <v>463</v>
      </c>
      <c r="G463" t="str">
        <f t="shared" si="68"/>
        <v>4</v>
      </c>
      <c r="H463" t="str">
        <f t="shared" si="69"/>
        <v>6</v>
      </c>
      <c r="I463" t="str">
        <f t="shared" si="70"/>
        <v>3</v>
      </c>
      <c r="K463" t="str">
        <f t="shared" si="64"/>
        <v>4</v>
      </c>
      <c r="L463" t="str">
        <f t="shared" si="65"/>
        <v>6</v>
      </c>
      <c r="M463" t="str">
        <f t="shared" si="66"/>
        <v>3</v>
      </c>
      <c r="O463" s="69">
        <f t="shared" si="67"/>
        <v>13</v>
      </c>
      <c r="P463">
        <f t="shared" si="71"/>
        <v>78</v>
      </c>
      <c r="Q463" t="str">
        <f t="shared" si="72"/>
        <v xml:space="preserve"> </v>
      </c>
    </row>
    <row r="464" spans="1:17" x14ac:dyDescent="0.25">
      <c r="A464">
        <v>0</v>
      </c>
      <c r="E464">
        <v>464</v>
      </c>
      <c r="G464" t="str">
        <f t="shared" si="68"/>
        <v>4</v>
      </c>
      <c r="H464" t="str">
        <f t="shared" si="69"/>
        <v>6</v>
      </c>
      <c r="I464" t="str">
        <f t="shared" si="70"/>
        <v>4</v>
      </c>
      <c r="K464" t="str">
        <f t="shared" si="64"/>
        <v>4</v>
      </c>
      <c r="L464" t="str">
        <f t="shared" si="65"/>
        <v>6</v>
      </c>
      <c r="M464" t="str">
        <f t="shared" si="66"/>
        <v>4</v>
      </c>
      <c r="O464" s="69">
        <f t="shared" si="67"/>
        <v>14</v>
      </c>
      <c r="P464">
        <f t="shared" si="71"/>
        <v>84</v>
      </c>
      <c r="Q464" t="str">
        <f t="shared" si="72"/>
        <v xml:space="preserve"> </v>
      </c>
    </row>
    <row r="465" spans="1:17" x14ac:dyDescent="0.25">
      <c r="A465">
        <v>0</v>
      </c>
      <c r="E465">
        <v>465</v>
      </c>
      <c r="G465" t="str">
        <f t="shared" si="68"/>
        <v>4</v>
      </c>
      <c r="H465" t="str">
        <f t="shared" si="69"/>
        <v>6</v>
      </c>
      <c r="I465" t="str">
        <f t="shared" si="70"/>
        <v>5</v>
      </c>
      <c r="K465" t="str">
        <f t="shared" si="64"/>
        <v>4</v>
      </c>
      <c r="L465" t="str">
        <f t="shared" si="65"/>
        <v>6</v>
      </c>
      <c r="M465" t="str">
        <f t="shared" si="66"/>
        <v>5</v>
      </c>
      <c r="O465" s="69">
        <f t="shared" si="67"/>
        <v>15</v>
      </c>
      <c r="P465">
        <f t="shared" si="71"/>
        <v>90</v>
      </c>
      <c r="Q465" t="str">
        <f t="shared" si="72"/>
        <v xml:space="preserve"> </v>
      </c>
    </row>
    <row r="466" spans="1:17" x14ac:dyDescent="0.25">
      <c r="A466">
        <v>0</v>
      </c>
      <c r="E466">
        <v>466</v>
      </c>
      <c r="G466" t="str">
        <f t="shared" si="68"/>
        <v>4</v>
      </c>
      <c r="H466" t="str">
        <f t="shared" si="69"/>
        <v>6</v>
      </c>
      <c r="I466" t="str">
        <f t="shared" si="70"/>
        <v>6</v>
      </c>
      <c r="K466" t="str">
        <f t="shared" ref="K466:K529" si="73">+G466</f>
        <v>4</v>
      </c>
      <c r="L466" t="str">
        <f t="shared" ref="L466:L529" si="74">+H466</f>
        <v>6</v>
      </c>
      <c r="M466" t="str">
        <f t="shared" ref="M466:M529" si="75">+I466</f>
        <v>6</v>
      </c>
      <c r="O466" s="69">
        <f t="shared" si="67"/>
        <v>16</v>
      </c>
      <c r="P466">
        <f t="shared" si="71"/>
        <v>96</v>
      </c>
      <c r="Q466" t="str">
        <f t="shared" si="72"/>
        <v xml:space="preserve"> </v>
      </c>
    </row>
    <row r="467" spans="1:17" x14ac:dyDescent="0.25">
      <c r="A467">
        <v>0</v>
      </c>
      <c r="E467">
        <v>467</v>
      </c>
      <c r="G467" t="str">
        <f t="shared" si="68"/>
        <v>4</v>
      </c>
      <c r="H467" t="str">
        <f t="shared" si="69"/>
        <v>6</v>
      </c>
      <c r="I467" t="str">
        <f t="shared" si="70"/>
        <v>7</v>
      </c>
      <c r="K467" t="str">
        <f t="shared" si="73"/>
        <v>4</v>
      </c>
      <c r="L467" t="str">
        <f t="shared" si="74"/>
        <v>6</v>
      </c>
      <c r="M467" t="str">
        <f t="shared" si="75"/>
        <v>7</v>
      </c>
      <c r="O467" s="69">
        <f t="shared" si="67"/>
        <v>17</v>
      </c>
      <c r="P467">
        <f t="shared" si="71"/>
        <v>102</v>
      </c>
      <c r="Q467" t="str">
        <f t="shared" si="72"/>
        <v xml:space="preserve"> </v>
      </c>
    </row>
    <row r="468" spans="1:17" x14ac:dyDescent="0.25">
      <c r="A468">
        <v>0</v>
      </c>
      <c r="E468">
        <v>468</v>
      </c>
      <c r="G468" t="str">
        <f t="shared" si="68"/>
        <v>4</v>
      </c>
      <c r="H468" t="str">
        <f t="shared" si="69"/>
        <v>6</v>
      </c>
      <c r="I468" t="str">
        <f t="shared" si="70"/>
        <v>8</v>
      </c>
      <c r="K468" t="str">
        <f t="shared" si="73"/>
        <v>4</v>
      </c>
      <c r="L468" t="str">
        <f t="shared" si="74"/>
        <v>6</v>
      </c>
      <c r="M468" t="str">
        <f t="shared" si="75"/>
        <v>8</v>
      </c>
      <c r="O468" s="69">
        <f t="shared" si="67"/>
        <v>18</v>
      </c>
      <c r="P468">
        <f t="shared" si="71"/>
        <v>108</v>
      </c>
      <c r="Q468" t="str">
        <f t="shared" si="72"/>
        <v xml:space="preserve"> </v>
      </c>
    </row>
    <row r="469" spans="1:17" x14ac:dyDescent="0.25">
      <c r="A469">
        <v>0</v>
      </c>
      <c r="E469">
        <v>469</v>
      </c>
      <c r="G469" t="str">
        <f t="shared" si="68"/>
        <v>4</v>
      </c>
      <c r="H469" t="str">
        <f t="shared" si="69"/>
        <v>6</v>
      </c>
      <c r="I469" t="str">
        <f t="shared" si="70"/>
        <v>9</v>
      </c>
      <c r="K469" t="str">
        <f t="shared" si="73"/>
        <v>4</v>
      </c>
      <c r="L469" t="str">
        <f t="shared" si="74"/>
        <v>6</v>
      </c>
      <c r="M469" t="str">
        <f t="shared" si="75"/>
        <v>9</v>
      </c>
      <c r="O469" s="69">
        <f t="shared" si="67"/>
        <v>19</v>
      </c>
      <c r="P469">
        <f t="shared" si="71"/>
        <v>114</v>
      </c>
      <c r="Q469" t="str">
        <f t="shared" si="72"/>
        <v xml:space="preserve"> </v>
      </c>
    </row>
    <row r="470" spans="1:17" x14ac:dyDescent="0.25">
      <c r="A470">
        <v>0</v>
      </c>
      <c r="E470">
        <v>470</v>
      </c>
      <c r="G470" t="str">
        <f t="shared" si="68"/>
        <v>4</v>
      </c>
      <c r="H470" t="str">
        <f t="shared" si="69"/>
        <v>7</v>
      </c>
      <c r="I470" t="str">
        <f t="shared" si="70"/>
        <v>0</v>
      </c>
      <c r="K470" t="str">
        <f t="shared" si="73"/>
        <v>4</v>
      </c>
      <c r="L470" t="str">
        <f t="shared" si="74"/>
        <v>7</v>
      </c>
      <c r="M470" t="str">
        <f t="shared" si="75"/>
        <v>0</v>
      </c>
      <c r="O470" s="69">
        <f t="shared" si="67"/>
        <v>11</v>
      </c>
      <c r="P470">
        <f t="shared" si="71"/>
        <v>66</v>
      </c>
      <c r="Q470" t="str">
        <f t="shared" si="72"/>
        <v xml:space="preserve"> </v>
      </c>
    </row>
    <row r="471" spans="1:17" x14ac:dyDescent="0.25">
      <c r="A471">
        <v>0</v>
      </c>
      <c r="E471">
        <v>471</v>
      </c>
      <c r="G471" t="str">
        <f t="shared" si="68"/>
        <v>4</v>
      </c>
      <c r="H471" t="str">
        <f t="shared" si="69"/>
        <v>7</v>
      </c>
      <c r="I471" t="str">
        <f t="shared" si="70"/>
        <v>1</v>
      </c>
      <c r="K471" t="str">
        <f t="shared" si="73"/>
        <v>4</v>
      </c>
      <c r="L471" t="str">
        <f t="shared" si="74"/>
        <v>7</v>
      </c>
      <c r="M471" t="str">
        <f t="shared" si="75"/>
        <v>1</v>
      </c>
      <c r="O471" s="69">
        <f t="shared" si="67"/>
        <v>12</v>
      </c>
      <c r="P471">
        <f t="shared" si="71"/>
        <v>72</v>
      </c>
      <c r="Q471" t="str">
        <f t="shared" si="72"/>
        <v xml:space="preserve"> </v>
      </c>
    </row>
    <row r="472" spans="1:17" x14ac:dyDescent="0.25">
      <c r="A472">
        <v>0</v>
      </c>
      <c r="E472">
        <v>472</v>
      </c>
      <c r="G472" t="str">
        <f t="shared" si="68"/>
        <v>4</v>
      </c>
      <c r="H472" t="str">
        <f t="shared" si="69"/>
        <v>7</v>
      </c>
      <c r="I472" t="str">
        <f t="shared" si="70"/>
        <v>2</v>
      </c>
      <c r="K472" t="str">
        <f t="shared" si="73"/>
        <v>4</v>
      </c>
      <c r="L472" t="str">
        <f t="shared" si="74"/>
        <v>7</v>
      </c>
      <c r="M472" t="str">
        <f t="shared" si="75"/>
        <v>2</v>
      </c>
      <c r="O472" s="69">
        <f t="shared" si="67"/>
        <v>13</v>
      </c>
      <c r="P472">
        <f t="shared" si="71"/>
        <v>78</v>
      </c>
      <c r="Q472" t="str">
        <f t="shared" si="72"/>
        <v xml:space="preserve"> </v>
      </c>
    </row>
    <row r="473" spans="1:17" x14ac:dyDescent="0.25">
      <c r="A473">
        <v>0</v>
      </c>
      <c r="E473">
        <v>473</v>
      </c>
      <c r="G473" t="str">
        <f t="shared" si="68"/>
        <v>4</v>
      </c>
      <c r="H473" t="str">
        <f t="shared" si="69"/>
        <v>7</v>
      </c>
      <c r="I473" t="str">
        <f t="shared" si="70"/>
        <v>3</v>
      </c>
      <c r="K473" t="str">
        <f t="shared" si="73"/>
        <v>4</v>
      </c>
      <c r="L473" t="str">
        <f t="shared" si="74"/>
        <v>7</v>
      </c>
      <c r="M473" t="str">
        <f t="shared" si="75"/>
        <v>3</v>
      </c>
      <c r="O473" s="69">
        <f t="shared" si="67"/>
        <v>14</v>
      </c>
      <c r="P473">
        <f t="shared" si="71"/>
        <v>84</v>
      </c>
      <c r="Q473" t="str">
        <f t="shared" si="72"/>
        <v xml:space="preserve"> </v>
      </c>
    </row>
    <row r="474" spans="1:17" x14ac:dyDescent="0.25">
      <c r="A474">
        <v>0</v>
      </c>
      <c r="E474">
        <v>474</v>
      </c>
      <c r="G474" t="str">
        <f t="shared" si="68"/>
        <v>4</v>
      </c>
      <c r="H474" t="str">
        <f t="shared" si="69"/>
        <v>7</v>
      </c>
      <c r="I474" t="str">
        <f t="shared" si="70"/>
        <v>4</v>
      </c>
      <c r="K474" t="str">
        <f t="shared" si="73"/>
        <v>4</v>
      </c>
      <c r="L474" t="str">
        <f t="shared" si="74"/>
        <v>7</v>
      </c>
      <c r="M474" t="str">
        <f t="shared" si="75"/>
        <v>4</v>
      </c>
      <c r="O474" s="69">
        <f t="shared" si="67"/>
        <v>15</v>
      </c>
      <c r="P474">
        <f t="shared" si="71"/>
        <v>90</v>
      </c>
      <c r="Q474" t="str">
        <f t="shared" si="72"/>
        <v xml:space="preserve"> </v>
      </c>
    </row>
    <row r="475" spans="1:17" x14ac:dyDescent="0.25">
      <c r="A475">
        <v>0</v>
      </c>
      <c r="E475">
        <v>475</v>
      </c>
      <c r="G475" t="str">
        <f t="shared" si="68"/>
        <v>4</v>
      </c>
      <c r="H475" t="str">
        <f t="shared" si="69"/>
        <v>7</v>
      </c>
      <c r="I475" t="str">
        <f t="shared" si="70"/>
        <v>5</v>
      </c>
      <c r="K475" t="str">
        <f t="shared" si="73"/>
        <v>4</v>
      </c>
      <c r="L475" t="str">
        <f t="shared" si="74"/>
        <v>7</v>
      </c>
      <c r="M475" t="str">
        <f t="shared" si="75"/>
        <v>5</v>
      </c>
      <c r="O475" s="69">
        <f t="shared" si="67"/>
        <v>16</v>
      </c>
      <c r="P475">
        <f t="shared" si="71"/>
        <v>96</v>
      </c>
      <c r="Q475" t="str">
        <f t="shared" si="72"/>
        <v xml:space="preserve"> </v>
      </c>
    </row>
    <row r="476" spans="1:17" x14ac:dyDescent="0.25">
      <c r="A476">
        <v>0</v>
      </c>
      <c r="E476">
        <v>476</v>
      </c>
      <c r="G476" t="str">
        <f t="shared" si="68"/>
        <v>4</v>
      </c>
      <c r="H476" t="str">
        <f t="shared" si="69"/>
        <v>7</v>
      </c>
      <c r="I476" t="str">
        <f t="shared" si="70"/>
        <v>6</v>
      </c>
      <c r="K476" t="str">
        <f t="shared" si="73"/>
        <v>4</v>
      </c>
      <c r="L476" t="str">
        <f t="shared" si="74"/>
        <v>7</v>
      </c>
      <c r="M476" t="str">
        <f t="shared" si="75"/>
        <v>6</v>
      </c>
      <c r="O476" s="69">
        <f t="shared" si="67"/>
        <v>17</v>
      </c>
      <c r="P476">
        <f t="shared" si="71"/>
        <v>102</v>
      </c>
      <c r="Q476" t="str">
        <f t="shared" si="72"/>
        <v xml:space="preserve"> </v>
      </c>
    </row>
    <row r="477" spans="1:17" x14ac:dyDescent="0.25">
      <c r="A477">
        <v>0</v>
      </c>
      <c r="E477">
        <v>477</v>
      </c>
      <c r="G477" t="str">
        <f t="shared" si="68"/>
        <v>4</v>
      </c>
      <c r="H477" t="str">
        <f t="shared" si="69"/>
        <v>7</v>
      </c>
      <c r="I477" t="str">
        <f t="shared" si="70"/>
        <v>7</v>
      </c>
      <c r="K477" t="str">
        <f t="shared" si="73"/>
        <v>4</v>
      </c>
      <c r="L477" t="str">
        <f t="shared" si="74"/>
        <v>7</v>
      </c>
      <c r="M477" t="str">
        <f t="shared" si="75"/>
        <v>7</v>
      </c>
      <c r="O477" s="69">
        <f t="shared" si="67"/>
        <v>18</v>
      </c>
      <c r="P477">
        <f t="shared" si="71"/>
        <v>108</v>
      </c>
      <c r="Q477" t="str">
        <f t="shared" si="72"/>
        <v xml:space="preserve"> </v>
      </c>
    </row>
    <row r="478" spans="1:17" x14ac:dyDescent="0.25">
      <c r="A478">
        <v>0</v>
      </c>
      <c r="E478">
        <v>478</v>
      </c>
      <c r="G478" t="str">
        <f t="shared" si="68"/>
        <v>4</v>
      </c>
      <c r="H478" t="str">
        <f t="shared" si="69"/>
        <v>7</v>
      </c>
      <c r="I478" t="str">
        <f t="shared" si="70"/>
        <v>8</v>
      </c>
      <c r="K478" t="str">
        <f t="shared" si="73"/>
        <v>4</v>
      </c>
      <c r="L478" t="str">
        <f t="shared" si="74"/>
        <v>7</v>
      </c>
      <c r="M478" t="str">
        <f t="shared" si="75"/>
        <v>8</v>
      </c>
      <c r="O478" s="69">
        <f t="shared" si="67"/>
        <v>19</v>
      </c>
      <c r="P478">
        <f t="shared" si="71"/>
        <v>114</v>
      </c>
      <c r="Q478" t="str">
        <f t="shared" si="72"/>
        <v xml:space="preserve"> </v>
      </c>
    </row>
    <row r="479" spans="1:17" x14ac:dyDescent="0.25">
      <c r="A479">
        <v>0</v>
      </c>
      <c r="E479">
        <v>479</v>
      </c>
      <c r="G479" t="str">
        <f t="shared" si="68"/>
        <v>4</v>
      </c>
      <c r="H479" t="str">
        <f t="shared" si="69"/>
        <v>7</v>
      </c>
      <c r="I479" t="str">
        <f t="shared" si="70"/>
        <v>9</v>
      </c>
      <c r="K479" t="str">
        <f t="shared" si="73"/>
        <v>4</v>
      </c>
      <c r="L479" t="str">
        <f t="shared" si="74"/>
        <v>7</v>
      </c>
      <c r="M479" t="str">
        <f t="shared" si="75"/>
        <v>9</v>
      </c>
      <c r="O479" s="69">
        <f t="shared" si="67"/>
        <v>20</v>
      </c>
      <c r="P479">
        <f t="shared" si="71"/>
        <v>120</v>
      </c>
      <c r="Q479" t="str">
        <f t="shared" si="72"/>
        <v xml:space="preserve"> </v>
      </c>
    </row>
    <row r="480" spans="1:17" x14ac:dyDescent="0.25">
      <c r="A480">
        <v>0</v>
      </c>
      <c r="E480">
        <v>480</v>
      </c>
      <c r="G480" t="str">
        <f t="shared" si="68"/>
        <v>4</v>
      </c>
      <c r="H480" t="str">
        <f t="shared" si="69"/>
        <v>8</v>
      </c>
      <c r="I480" t="str">
        <f t="shared" si="70"/>
        <v>0</v>
      </c>
      <c r="K480" t="str">
        <f t="shared" si="73"/>
        <v>4</v>
      </c>
      <c r="L480" t="str">
        <f t="shared" si="74"/>
        <v>8</v>
      </c>
      <c r="M480" t="str">
        <f t="shared" si="75"/>
        <v>0</v>
      </c>
      <c r="O480" s="69">
        <f t="shared" si="67"/>
        <v>12</v>
      </c>
      <c r="P480">
        <f t="shared" si="71"/>
        <v>72</v>
      </c>
      <c r="Q480" t="str">
        <f t="shared" si="72"/>
        <v xml:space="preserve"> </v>
      </c>
    </row>
    <row r="481" spans="1:17" x14ac:dyDescent="0.25">
      <c r="A481">
        <v>0</v>
      </c>
      <c r="E481">
        <v>481</v>
      </c>
      <c r="G481" t="str">
        <f t="shared" si="68"/>
        <v>4</v>
      </c>
      <c r="H481" t="str">
        <f t="shared" si="69"/>
        <v>8</v>
      </c>
      <c r="I481" t="str">
        <f t="shared" si="70"/>
        <v>1</v>
      </c>
      <c r="K481" t="str">
        <f t="shared" si="73"/>
        <v>4</v>
      </c>
      <c r="L481" t="str">
        <f t="shared" si="74"/>
        <v>8</v>
      </c>
      <c r="M481" t="str">
        <f t="shared" si="75"/>
        <v>1</v>
      </c>
      <c r="O481" s="69">
        <f t="shared" si="67"/>
        <v>13</v>
      </c>
      <c r="P481">
        <f t="shared" si="71"/>
        <v>78</v>
      </c>
      <c r="Q481" t="str">
        <f t="shared" si="72"/>
        <v xml:space="preserve"> </v>
      </c>
    </row>
    <row r="482" spans="1:17" x14ac:dyDescent="0.25">
      <c r="A482">
        <v>0</v>
      </c>
      <c r="E482">
        <v>482</v>
      </c>
      <c r="G482" t="str">
        <f t="shared" si="68"/>
        <v>4</v>
      </c>
      <c r="H482" t="str">
        <f t="shared" si="69"/>
        <v>8</v>
      </c>
      <c r="I482" t="str">
        <f t="shared" si="70"/>
        <v>2</v>
      </c>
      <c r="K482" t="str">
        <f t="shared" si="73"/>
        <v>4</v>
      </c>
      <c r="L482" t="str">
        <f t="shared" si="74"/>
        <v>8</v>
      </c>
      <c r="M482" t="str">
        <f t="shared" si="75"/>
        <v>2</v>
      </c>
      <c r="O482" s="69">
        <f t="shared" si="67"/>
        <v>14</v>
      </c>
      <c r="P482">
        <f t="shared" si="71"/>
        <v>84</v>
      </c>
      <c r="Q482" t="str">
        <f t="shared" si="72"/>
        <v xml:space="preserve"> </v>
      </c>
    </row>
    <row r="483" spans="1:17" x14ac:dyDescent="0.25">
      <c r="A483">
        <v>0</v>
      </c>
      <c r="E483">
        <v>483</v>
      </c>
      <c r="G483" t="str">
        <f t="shared" si="68"/>
        <v>4</v>
      </c>
      <c r="H483" t="str">
        <f t="shared" si="69"/>
        <v>8</v>
      </c>
      <c r="I483" t="str">
        <f t="shared" si="70"/>
        <v>3</v>
      </c>
      <c r="K483" t="str">
        <f t="shared" si="73"/>
        <v>4</v>
      </c>
      <c r="L483" t="str">
        <f t="shared" si="74"/>
        <v>8</v>
      </c>
      <c r="M483" t="str">
        <f t="shared" si="75"/>
        <v>3</v>
      </c>
      <c r="O483" s="69">
        <f t="shared" si="67"/>
        <v>15</v>
      </c>
      <c r="P483">
        <f t="shared" si="71"/>
        <v>90</v>
      </c>
      <c r="Q483" t="str">
        <f t="shared" si="72"/>
        <v xml:space="preserve"> </v>
      </c>
    </row>
    <row r="484" spans="1:17" x14ac:dyDescent="0.25">
      <c r="A484">
        <v>0</v>
      </c>
      <c r="E484">
        <v>484</v>
      </c>
      <c r="G484" t="str">
        <f t="shared" si="68"/>
        <v>4</v>
      </c>
      <c r="H484" t="str">
        <f t="shared" si="69"/>
        <v>8</v>
      </c>
      <c r="I484" t="str">
        <f t="shared" si="70"/>
        <v>4</v>
      </c>
      <c r="K484" t="str">
        <f t="shared" si="73"/>
        <v>4</v>
      </c>
      <c r="L484" t="str">
        <f t="shared" si="74"/>
        <v>8</v>
      </c>
      <c r="M484" t="str">
        <f t="shared" si="75"/>
        <v>4</v>
      </c>
      <c r="O484" s="69">
        <f t="shared" si="67"/>
        <v>16</v>
      </c>
      <c r="P484">
        <f t="shared" si="71"/>
        <v>96</v>
      </c>
      <c r="Q484" t="str">
        <f t="shared" si="72"/>
        <v xml:space="preserve"> </v>
      </c>
    </row>
    <row r="485" spans="1:17" x14ac:dyDescent="0.25">
      <c r="A485">
        <v>0</v>
      </c>
      <c r="E485">
        <v>485</v>
      </c>
      <c r="G485" t="str">
        <f t="shared" si="68"/>
        <v>4</v>
      </c>
      <c r="H485" t="str">
        <f t="shared" si="69"/>
        <v>8</v>
      </c>
      <c r="I485" t="str">
        <f t="shared" si="70"/>
        <v>5</v>
      </c>
      <c r="K485" t="str">
        <f t="shared" si="73"/>
        <v>4</v>
      </c>
      <c r="L485" t="str">
        <f t="shared" si="74"/>
        <v>8</v>
      </c>
      <c r="M485" t="str">
        <f t="shared" si="75"/>
        <v>5</v>
      </c>
      <c r="O485" s="69">
        <f t="shared" ref="O485:O548" si="76">+K485+L485+M485</f>
        <v>17</v>
      </c>
      <c r="P485">
        <f t="shared" si="71"/>
        <v>102</v>
      </c>
      <c r="Q485" t="str">
        <f t="shared" si="72"/>
        <v xml:space="preserve"> </v>
      </c>
    </row>
    <row r="486" spans="1:17" x14ac:dyDescent="0.25">
      <c r="A486">
        <v>0</v>
      </c>
      <c r="E486">
        <v>486</v>
      </c>
      <c r="G486" t="str">
        <f t="shared" si="68"/>
        <v>4</v>
      </c>
      <c r="H486" t="str">
        <f t="shared" si="69"/>
        <v>8</v>
      </c>
      <c r="I486" t="str">
        <f t="shared" si="70"/>
        <v>6</v>
      </c>
      <c r="K486" t="str">
        <f t="shared" si="73"/>
        <v>4</v>
      </c>
      <c r="L486" t="str">
        <f t="shared" si="74"/>
        <v>8</v>
      </c>
      <c r="M486" t="str">
        <f t="shared" si="75"/>
        <v>6</v>
      </c>
      <c r="O486" s="69">
        <f t="shared" si="76"/>
        <v>18</v>
      </c>
      <c r="P486">
        <f t="shared" si="71"/>
        <v>108</v>
      </c>
      <c r="Q486" t="str">
        <f t="shared" si="72"/>
        <v xml:space="preserve"> </v>
      </c>
    </row>
    <row r="487" spans="1:17" x14ac:dyDescent="0.25">
      <c r="A487">
        <v>0</v>
      </c>
      <c r="E487">
        <v>487</v>
      </c>
      <c r="G487" t="str">
        <f t="shared" si="68"/>
        <v>4</v>
      </c>
      <c r="H487" t="str">
        <f t="shared" si="69"/>
        <v>8</v>
      </c>
      <c r="I487" t="str">
        <f t="shared" si="70"/>
        <v>7</v>
      </c>
      <c r="K487" t="str">
        <f t="shared" si="73"/>
        <v>4</v>
      </c>
      <c r="L487" t="str">
        <f t="shared" si="74"/>
        <v>8</v>
      </c>
      <c r="M487" t="str">
        <f t="shared" si="75"/>
        <v>7</v>
      </c>
      <c r="O487" s="69">
        <f t="shared" si="76"/>
        <v>19</v>
      </c>
      <c r="P487">
        <f t="shared" si="71"/>
        <v>114</v>
      </c>
      <c r="Q487" t="str">
        <f t="shared" si="72"/>
        <v xml:space="preserve"> </v>
      </c>
    </row>
    <row r="488" spans="1:17" x14ac:dyDescent="0.25">
      <c r="A488">
        <v>0</v>
      </c>
      <c r="E488">
        <v>488</v>
      </c>
      <c r="G488" t="str">
        <f t="shared" si="68"/>
        <v>4</v>
      </c>
      <c r="H488" t="str">
        <f t="shared" si="69"/>
        <v>8</v>
      </c>
      <c r="I488" t="str">
        <f t="shared" si="70"/>
        <v>8</v>
      </c>
      <c r="K488" t="str">
        <f t="shared" si="73"/>
        <v>4</v>
      </c>
      <c r="L488" t="str">
        <f t="shared" si="74"/>
        <v>8</v>
      </c>
      <c r="M488" t="str">
        <f t="shared" si="75"/>
        <v>8</v>
      </c>
      <c r="O488" s="69">
        <f t="shared" si="76"/>
        <v>20</v>
      </c>
      <c r="P488">
        <f t="shared" si="71"/>
        <v>120</v>
      </c>
      <c r="Q488" t="str">
        <f t="shared" si="72"/>
        <v xml:space="preserve"> </v>
      </c>
    </row>
    <row r="489" spans="1:17" x14ac:dyDescent="0.25">
      <c r="A489">
        <v>0</v>
      </c>
      <c r="E489">
        <v>489</v>
      </c>
      <c r="G489" t="str">
        <f t="shared" si="68"/>
        <v>4</v>
      </c>
      <c r="H489" t="str">
        <f t="shared" si="69"/>
        <v>8</v>
      </c>
      <c r="I489" t="str">
        <f t="shared" si="70"/>
        <v>9</v>
      </c>
      <c r="K489" t="str">
        <f t="shared" si="73"/>
        <v>4</v>
      </c>
      <c r="L489" t="str">
        <f t="shared" si="74"/>
        <v>8</v>
      </c>
      <c r="M489" t="str">
        <f t="shared" si="75"/>
        <v>9</v>
      </c>
      <c r="O489" s="69">
        <f t="shared" si="76"/>
        <v>21</v>
      </c>
      <c r="P489">
        <f t="shared" si="71"/>
        <v>126</v>
      </c>
      <c r="Q489" t="str">
        <f t="shared" si="72"/>
        <v xml:space="preserve"> </v>
      </c>
    </row>
    <row r="490" spans="1:17" x14ac:dyDescent="0.25">
      <c r="A490">
        <v>0</v>
      </c>
      <c r="E490">
        <v>490</v>
      </c>
      <c r="G490" t="str">
        <f t="shared" si="68"/>
        <v>4</v>
      </c>
      <c r="H490" t="str">
        <f t="shared" si="69"/>
        <v>9</v>
      </c>
      <c r="I490" t="str">
        <f t="shared" si="70"/>
        <v>0</v>
      </c>
      <c r="K490" t="str">
        <f t="shared" si="73"/>
        <v>4</v>
      </c>
      <c r="L490" t="str">
        <f t="shared" si="74"/>
        <v>9</v>
      </c>
      <c r="M490" t="str">
        <f t="shared" si="75"/>
        <v>0</v>
      </c>
      <c r="O490" s="69">
        <f t="shared" si="76"/>
        <v>13</v>
      </c>
      <c r="P490">
        <f t="shared" si="71"/>
        <v>78</v>
      </c>
      <c r="Q490" t="str">
        <f t="shared" si="72"/>
        <v xml:space="preserve"> </v>
      </c>
    </row>
    <row r="491" spans="1:17" x14ac:dyDescent="0.25">
      <c r="A491">
        <v>0</v>
      </c>
      <c r="E491">
        <v>491</v>
      </c>
      <c r="G491" t="str">
        <f t="shared" si="68"/>
        <v>4</v>
      </c>
      <c r="H491" t="str">
        <f t="shared" si="69"/>
        <v>9</v>
      </c>
      <c r="I491" t="str">
        <f t="shared" si="70"/>
        <v>1</v>
      </c>
      <c r="K491" t="str">
        <f t="shared" si="73"/>
        <v>4</v>
      </c>
      <c r="L491" t="str">
        <f t="shared" si="74"/>
        <v>9</v>
      </c>
      <c r="M491" t="str">
        <f t="shared" si="75"/>
        <v>1</v>
      </c>
      <c r="O491" s="69">
        <f t="shared" si="76"/>
        <v>14</v>
      </c>
      <c r="P491">
        <f t="shared" si="71"/>
        <v>84</v>
      </c>
      <c r="Q491" t="str">
        <f t="shared" si="72"/>
        <v xml:space="preserve"> </v>
      </c>
    </row>
    <row r="492" spans="1:17" x14ac:dyDescent="0.25">
      <c r="A492">
        <v>0</v>
      </c>
      <c r="E492">
        <v>492</v>
      </c>
      <c r="G492" t="str">
        <f t="shared" si="68"/>
        <v>4</v>
      </c>
      <c r="H492" t="str">
        <f t="shared" si="69"/>
        <v>9</v>
      </c>
      <c r="I492" t="str">
        <f t="shared" si="70"/>
        <v>2</v>
      </c>
      <c r="K492" t="str">
        <f t="shared" si="73"/>
        <v>4</v>
      </c>
      <c r="L492" t="str">
        <f t="shared" si="74"/>
        <v>9</v>
      </c>
      <c r="M492" t="str">
        <f t="shared" si="75"/>
        <v>2</v>
      </c>
      <c r="O492" s="69">
        <f t="shared" si="76"/>
        <v>15</v>
      </c>
      <c r="P492">
        <f t="shared" si="71"/>
        <v>90</v>
      </c>
      <c r="Q492" t="str">
        <f t="shared" si="72"/>
        <v xml:space="preserve"> </v>
      </c>
    </row>
    <row r="493" spans="1:17" x14ac:dyDescent="0.25">
      <c r="A493">
        <v>0</v>
      </c>
      <c r="E493">
        <v>493</v>
      </c>
      <c r="G493" t="str">
        <f t="shared" si="68"/>
        <v>4</v>
      </c>
      <c r="H493" t="str">
        <f t="shared" si="69"/>
        <v>9</v>
      </c>
      <c r="I493" t="str">
        <f t="shared" si="70"/>
        <v>3</v>
      </c>
      <c r="K493" t="str">
        <f t="shared" si="73"/>
        <v>4</v>
      </c>
      <c r="L493" t="str">
        <f t="shared" si="74"/>
        <v>9</v>
      </c>
      <c r="M493" t="str">
        <f t="shared" si="75"/>
        <v>3</v>
      </c>
      <c r="O493" s="69">
        <f t="shared" si="76"/>
        <v>16</v>
      </c>
      <c r="P493">
        <f t="shared" si="71"/>
        <v>96</v>
      </c>
      <c r="Q493" t="str">
        <f t="shared" si="72"/>
        <v xml:space="preserve"> </v>
      </c>
    </row>
    <row r="494" spans="1:17" x14ac:dyDescent="0.25">
      <c r="A494">
        <v>0</v>
      </c>
      <c r="E494">
        <v>494</v>
      </c>
      <c r="G494" t="str">
        <f t="shared" si="68"/>
        <v>4</v>
      </c>
      <c r="H494" t="str">
        <f t="shared" si="69"/>
        <v>9</v>
      </c>
      <c r="I494" t="str">
        <f t="shared" si="70"/>
        <v>4</v>
      </c>
      <c r="K494" t="str">
        <f t="shared" si="73"/>
        <v>4</v>
      </c>
      <c r="L494" t="str">
        <f t="shared" si="74"/>
        <v>9</v>
      </c>
      <c r="M494" t="str">
        <f t="shared" si="75"/>
        <v>4</v>
      </c>
      <c r="O494" s="69">
        <f t="shared" si="76"/>
        <v>17</v>
      </c>
      <c r="P494">
        <f t="shared" si="71"/>
        <v>102</v>
      </c>
      <c r="Q494" t="str">
        <f t="shared" si="72"/>
        <v xml:space="preserve"> </v>
      </c>
    </row>
    <row r="495" spans="1:17" x14ac:dyDescent="0.25">
      <c r="A495">
        <v>0</v>
      </c>
      <c r="E495">
        <v>495</v>
      </c>
      <c r="G495" t="str">
        <f t="shared" si="68"/>
        <v>4</v>
      </c>
      <c r="H495" t="str">
        <f t="shared" si="69"/>
        <v>9</v>
      </c>
      <c r="I495" t="str">
        <f t="shared" si="70"/>
        <v>5</v>
      </c>
      <c r="K495" t="str">
        <f t="shared" si="73"/>
        <v>4</v>
      </c>
      <c r="L495" t="str">
        <f t="shared" si="74"/>
        <v>9</v>
      </c>
      <c r="M495" t="str">
        <f t="shared" si="75"/>
        <v>5</v>
      </c>
      <c r="O495" s="69">
        <f t="shared" si="76"/>
        <v>18</v>
      </c>
      <c r="P495">
        <f t="shared" si="71"/>
        <v>108</v>
      </c>
      <c r="Q495" t="str">
        <f t="shared" si="72"/>
        <v xml:space="preserve"> </v>
      </c>
    </row>
    <row r="496" spans="1:17" x14ac:dyDescent="0.25">
      <c r="A496">
        <v>0</v>
      </c>
      <c r="E496">
        <v>496</v>
      </c>
      <c r="G496" t="str">
        <f t="shared" si="68"/>
        <v>4</v>
      </c>
      <c r="H496" t="str">
        <f t="shared" si="69"/>
        <v>9</v>
      </c>
      <c r="I496" t="str">
        <f t="shared" si="70"/>
        <v>6</v>
      </c>
      <c r="K496" t="str">
        <f t="shared" si="73"/>
        <v>4</v>
      </c>
      <c r="L496" t="str">
        <f t="shared" si="74"/>
        <v>9</v>
      </c>
      <c r="M496" t="str">
        <f t="shared" si="75"/>
        <v>6</v>
      </c>
      <c r="O496" s="69">
        <f t="shared" si="76"/>
        <v>19</v>
      </c>
      <c r="P496">
        <f t="shared" si="71"/>
        <v>114</v>
      </c>
      <c r="Q496" t="str">
        <f t="shared" si="72"/>
        <v xml:space="preserve"> </v>
      </c>
    </row>
    <row r="497" spans="1:17" x14ac:dyDescent="0.25">
      <c r="A497">
        <v>0</v>
      </c>
      <c r="E497">
        <v>497</v>
      </c>
      <c r="G497" t="str">
        <f t="shared" si="68"/>
        <v>4</v>
      </c>
      <c r="H497" t="str">
        <f t="shared" si="69"/>
        <v>9</v>
      </c>
      <c r="I497" t="str">
        <f t="shared" si="70"/>
        <v>7</v>
      </c>
      <c r="K497" t="str">
        <f t="shared" si="73"/>
        <v>4</v>
      </c>
      <c r="L497" t="str">
        <f t="shared" si="74"/>
        <v>9</v>
      </c>
      <c r="M497" t="str">
        <f t="shared" si="75"/>
        <v>7</v>
      </c>
      <c r="O497" s="69">
        <f t="shared" si="76"/>
        <v>20</v>
      </c>
      <c r="P497">
        <f t="shared" si="71"/>
        <v>120</v>
      </c>
      <c r="Q497" t="str">
        <f t="shared" si="72"/>
        <v xml:space="preserve"> </v>
      </c>
    </row>
    <row r="498" spans="1:17" x14ac:dyDescent="0.25">
      <c r="A498">
        <v>0</v>
      </c>
      <c r="E498">
        <v>498</v>
      </c>
      <c r="G498" t="str">
        <f t="shared" si="68"/>
        <v>4</v>
      </c>
      <c r="H498" t="str">
        <f t="shared" si="69"/>
        <v>9</v>
      </c>
      <c r="I498" t="str">
        <f t="shared" si="70"/>
        <v>8</v>
      </c>
      <c r="K498" t="str">
        <f t="shared" si="73"/>
        <v>4</v>
      </c>
      <c r="L498" t="str">
        <f t="shared" si="74"/>
        <v>9</v>
      </c>
      <c r="M498" t="str">
        <f t="shared" si="75"/>
        <v>8</v>
      </c>
      <c r="O498" s="69">
        <f t="shared" si="76"/>
        <v>21</v>
      </c>
      <c r="P498">
        <f t="shared" si="71"/>
        <v>126</v>
      </c>
      <c r="Q498" t="str">
        <f t="shared" si="72"/>
        <v xml:space="preserve"> </v>
      </c>
    </row>
    <row r="499" spans="1:17" x14ac:dyDescent="0.25">
      <c r="A499">
        <v>0</v>
      </c>
      <c r="E499">
        <v>499</v>
      </c>
      <c r="G499" t="str">
        <f t="shared" si="68"/>
        <v>4</v>
      </c>
      <c r="H499" t="str">
        <f t="shared" si="69"/>
        <v>9</v>
      </c>
      <c r="I499" t="str">
        <f t="shared" si="70"/>
        <v>9</v>
      </c>
      <c r="K499" t="str">
        <f t="shared" si="73"/>
        <v>4</v>
      </c>
      <c r="L499" t="str">
        <f t="shared" si="74"/>
        <v>9</v>
      </c>
      <c r="M499" t="str">
        <f t="shared" si="75"/>
        <v>9</v>
      </c>
      <c r="O499" s="69">
        <f t="shared" si="76"/>
        <v>22</v>
      </c>
      <c r="P499">
        <f t="shared" si="71"/>
        <v>132</v>
      </c>
      <c r="Q499" t="str">
        <f t="shared" si="72"/>
        <v xml:space="preserve"> </v>
      </c>
    </row>
    <row r="500" spans="1:17" x14ac:dyDescent="0.25">
      <c r="A500">
        <v>0</v>
      </c>
      <c r="E500">
        <v>500</v>
      </c>
      <c r="G500" t="str">
        <f t="shared" si="68"/>
        <v>5</v>
      </c>
      <c r="H500" t="str">
        <f t="shared" si="69"/>
        <v>0</v>
      </c>
      <c r="I500" t="str">
        <f t="shared" si="70"/>
        <v>0</v>
      </c>
      <c r="K500" t="str">
        <f t="shared" si="73"/>
        <v>5</v>
      </c>
      <c r="L500" t="str">
        <f t="shared" si="74"/>
        <v>0</v>
      </c>
      <c r="M500" t="str">
        <f t="shared" si="75"/>
        <v>0</v>
      </c>
      <c r="O500" s="69">
        <f t="shared" si="76"/>
        <v>5</v>
      </c>
      <c r="P500">
        <f t="shared" si="71"/>
        <v>30</v>
      </c>
      <c r="Q500" t="str">
        <f t="shared" si="72"/>
        <v xml:space="preserve"> </v>
      </c>
    </row>
    <row r="501" spans="1:17" x14ac:dyDescent="0.25">
      <c r="A501">
        <v>0</v>
      </c>
      <c r="E501">
        <v>501</v>
      </c>
      <c r="G501" t="str">
        <f t="shared" si="68"/>
        <v>5</v>
      </c>
      <c r="H501" t="str">
        <f t="shared" si="69"/>
        <v>0</v>
      </c>
      <c r="I501" t="str">
        <f t="shared" si="70"/>
        <v>1</v>
      </c>
      <c r="K501" t="str">
        <f t="shared" si="73"/>
        <v>5</v>
      </c>
      <c r="L501" t="str">
        <f t="shared" si="74"/>
        <v>0</v>
      </c>
      <c r="M501" t="str">
        <f t="shared" si="75"/>
        <v>1</v>
      </c>
      <c r="O501" s="69">
        <f t="shared" si="76"/>
        <v>6</v>
      </c>
      <c r="P501">
        <f t="shared" si="71"/>
        <v>36</v>
      </c>
      <c r="Q501" t="str">
        <f t="shared" si="72"/>
        <v xml:space="preserve"> </v>
      </c>
    </row>
    <row r="502" spans="1:17" x14ac:dyDescent="0.25">
      <c r="A502">
        <v>0</v>
      </c>
      <c r="E502">
        <v>502</v>
      </c>
      <c r="G502" t="str">
        <f t="shared" si="68"/>
        <v>5</v>
      </c>
      <c r="H502" t="str">
        <f t="shared" si="69"/>
        <v>0</v>
      </c>
      <c r="I502" t="str">
        <f t="shared" si="70"/>
        <v>2</v>
      </c>
      <c r="K502" t="str">
        <f t="shared" si="73"/>
        <v>5</v>
      </c>
      <c r="L502" t="str">
        <f t="shared" si="74"/>
        <v>0</v>
      </c>
      <c r="M502" t="str">
        <f t="shared" si="75"/>
        <v>2</v>
      </c>
      <c r="O502" s="69">
        <f t="shared" si="76"/>
        <v>7</v>
      </c>
      <c r="P502">
        <f t="shared" si="71"/>
        <v>42</v>
      </c>
      <c r="Q502" t="str">
        <f t="shared" si="72"/>
        <v xml:space="preserve"> </v>
      </c>
    </row>
    <row r="503" spans="1:17" x14ac:dyDescent="0.25">
      <c r="A503">
        <v>0</v>
      </c>
      <c r="E503">
        <v>503</v>
      </c>
      <c r="G503" t="str">
        <f t="shared" si="68"/>
        <v>5</v>
      </c>
      <c r="H503" t="str">
        <f t="shared" si="69"/>
        <v>0</v>
      </c>
      <c r="I503" t="str">
        <f t="shared" si="70"/>
        <v>3</v>
      </c>
      <c r="K503" t="str">
        <f t="shared" si="73"/>
        <v>5</v>
      </c>
      <c r="L503" t="str">
        <f t="shared" si="74"/>
        <v>0</v>
      </c>
      <c r="M503" t="str">
        <f t="shared" si="75"/>
        <v>3</v>
      </c>
      <c r="O503" s="69">
        <f t="shared" si="76"/>
        <v>8</v>
      </c>
      <c r="P503">
        <f t="shared" si="71"/>
        <v>48</v>
      </c>
      <c r="Q503" t="str">
        <f t="shared" si="72"/>
        <v xml:space="preserve"> </v>
      </c>
    </row>
    <row r="504" spans="1:17" x14ac:dyDescent="0.25">
      <c r="A504">
        <v>0</v>
      </c>
      <c r="E504">
        <v>504</v>
      </c>
      <c r="G504" t="str">
        <f t="shared" si="68"/>
        <v>5</v>
      </c>
      <c r="H504" t="str">
        <f t="shared" si="69"/>
        <v>0</v>
      </c>
      <c r="I504" t="str">
        <f t="shared" si="70"/>
        <v>4</v>
      </c>
      <c r="K504" t="str">
        <f t="shared" si="73"/>
        <v>5</v>
      </c>
      <c r="L504" t="str">
        <f t="shared" si="74"/>
        <v>0</v>
      </c>
      <c r="M504" t="str">
        <f t="shared" si="75"/>
        <v>4</v>
      </c>
      <c r="O504" s="69">
        <f t="shared" si="76"/>
        <v>9</v>
      </c>
      <c r="P504">
        <f t="shared" si="71"/>
        <v>54</v>
      </c>
      <c r="Q504" t="str">
        <f t="shared" si="72"/>
        <v xml:space="preserve"> </v>
      </c>
    </row>
    <row r="505" spans="1:17" x14ac:dyDescent="0.25">
      <c r="A505">
        <v>0</v>
      </c>
      <c r="E505">
        <v>505</v>
      </c>
      <c r="G505" t="str">
        <f t="shared" si="68"/>
        <v>5</v>
      </c>
      <c r="H505" t="str">
        <f t="shared" si="69"/>
        <v>0</v>
      </c>
      <c r="I505" t="str">
        <f t="shared" si="70"/>
        <v>5</v>
      </c>
      <c r="K505" t="str">
        <f t="shared" si="73"/>
        <v>5</v>
      </c>
      <c r="L505" t="str">
        <f t="shared" si="74"/>
        <v>0</v>
      </c>
      <c r="M505" t="str">
        <f t="shared" si="75"/>
        <v>5</v>
      </c>
      <c r="O505" s="69">
        <f t="shared" si="76"/>
        <v>10</v>
      </c>
      <c r="P505">
        <f t="shared" si="71"/>
        <v>60</v>
      </c>
      <c r="Q505" t="str">
        <f t="shared" si="72"/>
        <v xml:space="preserve"> </v>
      </c>
    </row>
    <row r="506" spans="1:17" x14ac:dyDescent="0.25">
      <c r="A506">
        <v>0</v>
      </c>
      <c r="E506">
        <v>506</v>
      </c>
      <c r="G506" t="str">
        <f t="shared" si="68"/>
        <v>5</v>
      </c>
      <c r="H506" t="str">
        <f t="shared" si="69"/>
        <v>0</v>
      </c>
      <c r="I506" t="str">
        <f t="shared" si="70"/>
        <v>6</v>
      </c>
      <c r="K506" t="str">
        <f t="shared" si="73"/>
        <v>5</v>
      </c>
      <c r="L506" t="str">
        <f t="shared" si="74"/>
        <v>0</v>
      </c>
      <c r="M506" t="str">
        <f t="shared" si="75"/>
        <v>6</v>
      </c>
      <c r="O506" s="69">
        <f t="shared" si="76"/>
        <v>11</v>
      </c>
      <c r="P506">
        <f t="shared" si="71"/>
        <v>66</v>
      </c>
      <c r="Q506" t="str">
        <f t="shared" si="72"/>
        <v xml:space="preserve"> </v>
      </c>
    </row>
    <row r="507" spans="1:17" x14ac:dyDescent="0.25">
      <c r="A507">
        <v>0</v>
      </c>
      <c r="E507">
        <v>507</v>
      </c>
      <c r="G507" t="str">
        <f t="shared" si="68"/>
        <v>5</v>
      </c>
      <c r="H507" t="str">
        <f t="shared" si="69"/>
        <v>0</v>
      </c>
      <c r="I507" t="str">
        <f t="shared" si="70"/>
        <v>7</v>
      </c>
      <c r="K507" t="str">
        <f t="shared" si="73"/>
        <v>5</v>
      </c>
      <c r="L507" t="str">
        <f t="shared" si="74"/>
        <v>0</v>
      </c>
      <c r="M507" t="str">
        <f t="shared" si="75"/>
        <v>7</v>
      </c>
      <c r="O507" s="69">
        <f t="shared" si="76"/>
        <v>12</v>
      </c>
      <c r="P507">
        <f t="shared" si="71"/>
        <v>72</v>
      </c>
      <c r="Q507" t="str">
        <f t="shared" si="72"/>
        <v xml:space="preserve"> </v>
      </c>
    </row>
    <row r="508" spans="1:17" x14ac:dyDescent="0.25">
      <c r="A508">
        <v>0</v>
      </c>
      <c r="E508">
        <v>508</v>
      </c>
      <c r="G508" t="str">
        <f t="shared" si="68"/>
        <v>5</v>
      </c>
      <c r="H508" t="str">
        <f t="shared" si="69"/>
        <v>0</v>
      </c>
      <c r="I508" t="str">
        <f t="shared" si="70"/>
        <v>8</v>
      </c>
      <c r="K508" t="str">
        <f t="shared" si="73"/>
        <v>5</v>
      </c>
      <c r="L508" t="str">
        <f t="shared" si="74"/>
        <v>0</v>
      </c>
      <c r="M508" t="str">
        <f t="shared" si="75"/>
        <v>8</v>
      </c>
      <c r="O508" s="69">
        <f t="shared" si="76"/>
        <v>13</v>
      </c>
      <c r="P508">
        <f t="shared" si="71"/>
        <v>78</v>
      </c>
      <c r="Q508" t="str">
        <f t="shared" si="72"/>
        <v xml:space="preserve"> </v>
      </c>
    </row>
    <row r="509" spans="1:17" x14ac:dyDescent="0.25">
      <c r="A509">
        <v>0</v>
      </c>
      <c r="E509">
        <v>509</v>
      </c>
      <c r="G509" t="str">
        <f t="shared" si="68"/>
        <v>5</v>
      </c>
      <c r="H509" t="str">
        <f t="shared" si="69"/>
        <v>0</v>
      </c>
      <c r="I509" t="str">
        <f t="shared" si="70"/>
        <v>9</v>
      </c>
      <c r="K509" t="str">
        <f t="shared" si="73"/>
        <v>5</v>
      </c>
      <c r="L509" t="str">
        <f t="shared" si="74"/>
        <v>0</v>
      </c>
      <c r="M509" t="str">
        <f t="shared" si="75"/>
        <v>9</v>
      </c>
      <c r="O509" s="69">
        <f t="shared" si="76"/>
        <v>14</v>
      </c>
      <c r="P509">
        <f t="shared" si="71"/>
        <v>84</v>
      </c>
      <c r="Q509" t="str">
        <f t="shared" si="72"/>
        <v xml:space="preserve"> </v>
      </c>
    </row>
    <row r="510" spans="1:17" x14ac:dyDescent="0.25">
      <c r="A510">
        <v>0</v>
      </c>
      <c r="E510">
        <v>510</v>
      </c>
      <c r="G510" t="str">
        <f t="shared" si="68"/>
        <v>5</v>
      </c>
      <c r="H510" t="str">
        <f t="shared" si="69"/>
        <v>1</v>
      </c>
      <c r="I510" t="str">
        <f t="shared" si="70"/>
        <v>0</v>
      </c>
      <c r="K510" t="str">
        <f t="shared" si="73"/>
        <v>5</v>
      </c>
      <c r="L510" t="str">
        <f t="shared" si="74"/>
        <v>1</v>
      </c>
      <c r="M510" t="str">
        <f t="shared" si="75"/>
        <v>0</v>
      </c>
      <c r="O510" s="69">
        <f t="shared" si="76"/>
        <v>6</v>
      </c>
      <c r="P510">
        <f t="shared" si="71"/>
        <v>36</v>
      </c>
      <c r="Q510" t="str">
        <f t="shared" si="72"/>
        <v xml:space="preserve"> </v>
      </c>
    </row>
    <row r="511" spans="1:17" x14ac:dyDescent="0.25">
      <c r="A511">
        <v>0</v>
      </c>
      <c r="E511">
        <v>511</v>
      </c>
      <c r="G511" t="str">
        <f t="shared" si="68"/>
        <v>5</v>
      </c>
      <c r="H511" t="str">
        <f t="shared" si="69"/>
        <v>1</v>
      </c>
      <c r="I511" t="str">
        <f t="shared" si="70"/>
        <v>1</v>
      </c>
      <c r="K511" t="str">
        <f t="shared" si="73"/>
        <v>5</v>
      </c>
      <c r="L511" t="str">
        <f t="shared" si="74"/>
        <v>1</v>
      </c>
      <c r="M511" t="str">
        <f t="shared" si="75"/>
        <v>1</v>
      </c>
      <c r="O511" s="69">
        <f t="shared" si="76"/>
        <v>7</v>
      </c>
      <c r="P511">
        <f t="shared" si="71"/>
        <v>42</v>
      </c>
      <c r="Q511" t="str">
        <f t="shared" si="72"/>
        <v xml:space="preserve"> </v>
      </c>
    </row>
    <row r="512" spans="1:17" x14ac:dyDescent="0.25">
      <c r="A512">
        <v>0</v>
      </c>
      <c r="E512">
        <v>512</v>
      </c>
      <c r="G512" t="str">
        <f t="shared" si="68"/>
        <v>5</v>
      </c>
      <c r="H512" t="str">
        <f t="shared" si="69"/>
        <v>1</v>
      </c>
      <c r="I512" t="str">
        <f t="shared" si="70"/>
        <v>2</v>
      </c>
      <c r="K512" t="str">
        <f t="shared" si="73"/>
        <v>5</v>
      </c>
      <c r="L512" t="str">
        <f t="shared" si="74"/>
        <v>1</v>
      </c>
      <c r="M512" t="str">
        <f t="shared" si="75"/>
        <v>2</v>
      </c>
      <c r="O512" s="69">
        <f t="shared" si="76"/>
        <v>8</v>
      </c>
      <c r="P512">
        <f t="shared" si="71"/>
        <v>48</v>
      </c>
      <c r="Q512" t="str">
        <f t="shared" si="72"/>
        <v xml:space="preserve"> </v>
      </c>
    </row>
    <row r="513" spans="1:17" x14ac:dyDescent="0.25">
      <c r="A513">
        <v>0</v>
      </c>
      <c r="E513">
        <v>513</v>
      </c>
      <c r="G513" t="str">
        <f t="shared" si="68"/>
        <v>5</v>
      </c>
      <c r="H513" t="str">
        <f t="shared" si="69"/>
        <v>1</v>
      </c>
      <c r="I513" t="str">
        <f t="shared" si="70"/>
        <v>3</v>
      </c>
      <c r="K513" t="str">
        <f t="shared" si="73"/>
        <v>5</v>
      </c>
      <c r="L513" t="str">
        <f t="shared" si="74"/>
        <v>1</v>
      </c>
      <c r="M513" t="str">
        <f t="shared" si="75"/>
        <v>3</v>
      </c>
      <c r="O513" s="69">
        <f t="shared" si="76"/>
        <v>9</v>
      </c>
      <c r="P513">
        <f t="shared" si="71"/>
        <v>54</v>
      </c>
      <c r="Q513" t="str">
        <f t="shared" si="72"/>
        <v xml:space="preserve"> </v>
      </c>
    </row>
    <row r="514" spans="1:17" x14ac:dyDescent="0.25">
      <c r="A514">
        <v>0</v>
      </c>
      <c r="E514">
        <v>514</v>
      </c>
      <c r="G514" t="str">
        <f t="shared" ref="G514:G577" si="77">+MID(E514,1,1)</f>
        <v>5</v>
      </c>
      <c r="H514" t="str">
        <f t="shared" ref="H514:H577" si="78">+MID(E514,2,1)</f>
        <v>1</v>
      </c>
      <c r="I514" t="str">
        <f t="shared" ref="I514:I577" si="79">+MID(E514,3,1)</f>
        <v>4</v>
      </c>
      <c r="K514" t="str">
        <f t="shared" si="73"/>
        <v>5</v>
      </c>
      <c r="L514" t="str">
        <f t="shared" si="74"/>
        <v>1</v>
      </c>
      <c r="M514" t="str">
        <f t="shared" si="75"/>
        <v>4</v>
      </c>
      <c r="O514" s="69">
        <f t="shared" si="76"/>
        <v>10</v>
      </c>
      <c r="P514">
        <f t="shared" ref="P514:P577" si="80">+O514*6</f>
        <v>60</v>
      </c>
      <c r="Q514" t="str">
        <f t="shared" ref="Q514:Q577" si="81">+IF(P514=E514,"OK"," ")</f>
        <v xml:space="preserve"> </v>
      </c>
    </row>
    <row r="515" spans="1:17" x14ac:dyDescent="0.25">
      <c r="A515">
        <v>0</v>
      </c>
      <c r="E515">
        <v>515</v>
      </c>
      <c r="G515" t="str">
        <f t="shared" si="77"/>
        <v>5</v>
      </c>
      <c r="H515" t="str">
        <f t="shared" si="78"/>
        <v>1</v>
      </c>
      <c r="I515" t="str">
        <f t="shared" si="79"/>
        <v>5</v>
      </c>
      <c r="K515" t="str">
        <f t="shared" si="73"/>
        <v>5</v>
      </c>
      <c r="L515" t="str">
        <f t="shared" si="74"/>
        <v>1</v>
      </c>
      <c r="M515" t="str">
        <f t="shared" si="75"/>
        <v>5</v>
      </c>
      <c r="O515" s="69">
        <f t="shared" si="76"/>
        <v>11</v>
      </c>
      <c r="P515">
        <f t="shared" si="80"/>
        <v>66</v>
      </c>
      <c r="Q515" t="str">
        <f t="shared" si="81"/>
        <v xml:space="preserve"> </v>
      </c>
    </row>
    <row r="516" spans="1:17" x14ac:dyDescent="0.25">
      <c r="A516">
        <v>0</v>
      </c>
      <c r="E516">
        <v>516</v>
      </c>
      <c r="G516" t="str">
        <f t="shared" si="77"/>
        <v>5</v>
      </c>
      <c r="H516" t="str">
        <f t="shared" si="78"/>
        <v>1</v>
      </c>
      <c r="I516" t="str">
        <f t="shared" si="79"/>
        <v>6</v>
      </c>
      <c r="K516" t="str">
        <f t="shared" si="73"/>
        <v>5</v>
      </c>
      <c r="L516" t="str">
        <f t="shared" si="74"/>
        <v>1</v>
      </c>
      <c r="M516" t="str">
        <f t="shared" si="75"/>
        <v>6</v>
      </c>
      <c r="O516" s="69">
        <f t="shared" si="76"/>
        <v>12</v>
      </c>
      <c r="P516">
        <f t="shared" si="80"/>
        <v>72</v>
      </c>
      <c r="Q516" t="str">
        <f t="shared" si="81"/>
        <v xml:space="preserve"> </v>
      </c>
    </row>
    <row r="517" spans="1:17" x14ac:dyDescent="0.25">
      <c r="A517">
        <v>0</v>
      </c>
      <c r="E517">
        <v>517</v>
      </c>
      <c r="G517" t="str">
        <f t="shared" si="77"/>
        <v>5</v>
      </c>
      <c r="H517" t="str">
        <f t="shared" si="78"/>
        <v>1</v>
      </c>
      <c r="I517" t="str">
        <f t="shared" si="79"/>
        <v>7</v>
      </c>
      <c r="K517" t="str">
        <f t="shared" si="73"/>
        <v>5</v>
      </c>
      <c r="L517" t="str">
        <f t="shared" si="74"/>
        <v>1</v>
      </c>
      <c r="M517" t="str">
        <f t="shared" si="75"/>
        <v>7</v>
      </c>
      <c r="O517" s="69">
        <f t="shared" si="76"/>
        <v>13</v>
      </c>
      <c r="P517">
        <f t="shared" si="80"/>
        <v>78</v>
      </c>
      <c r="Q517" t="str">
        <f t="shared" si="81"/>
        <v xml:space="preserve"> </v>
      </c>
    </row>
    <row r="518" spans="1:17" x14ac:dyDescent="0.25">
      <c r="A518">
        <v>0</v>
      </c>
      <c r="E518">
        <v>518</v>
      </c>
      <c r="G518" t="str">
        <f t="shared" si="77"/>
        <v>5</v>
      </c>
      <c r="H518" t="str">
        <f t="shared" si="78"/>
        <v>1</v>
      </c>
      <c r="I518" t="str">
        <f t="shared" si="79"/>
        <v>8</v>
      </c>
      <c r="K518" t="str">
        <f t="shared" si="73"/>
        <v>5</v>
      </c>
      <c r="L518" t="str">
        <f t="shared" si="74"/>
        <v>1</v>
      </c>
      <c r="M518" t="str">
        <f t="shared" si="75"/>
        <v>8</v>
      </c>
      <c r="O518" s="69">
        <f t="shared" si="76"/>
        <v>14</v>
      </c>
      <c r="P518">
        <f t="shared" si="80"/>
        <v>84</v>
      </c>
      <c r="Q518" t="str">
        <f t="shared" si="81"/>
        <v xml:space="preserve"> </v>
      </c>
    </row>
    <row r="519" spans="1:17" x14ac:dyDescent="0.25">
      <c r="A519">
        <v>0</v>
      </c>
      <c r="E519">
        <v>519</v>
      </c>
      <c r="G519" t="str">
        <f t="shared" si="77"/>
        <v>5</v>
      </c>
      <c r="H519" t="str">
        <f t="shared" si="78"/>
        <v>1</v>
      </c>
      <c r="I519" t="str">
        <f t="shared" si="79"/>
        <v>9</v>
      </c>
      <c r="K519" t="str">
        <f t="shared" si="73"/>
        <v>5</v>
      </c>
      <c r="L519" t="str">
        <f t="shared" si="74"/>
        <v>1</v>
      </c>
      <c r="M519" t="str">
        <f t="shared" si="75"/>
        <v>9</v>
      </c>
      <c r="O519" s="69">
        <f t="shared" si="76"/>
        <v>15</v>
      </c>
      <c r="P519">
        <f t="shared" si="80"/>
        <v>90</v>
      </c>
      <c r="Q519" t="str">
        <f t="shared" si="81"/>
        <v xml:space="preserve"> </v>
      </c>
    </row>
    <row r="520" spans="1:17" x14ac:dyDescent="0.25">
      <c r="A520">
        <v>0</v>
      </c>
      <c r="E520">
        <v>520</v>
      </c>
      <c r="G520" t="str">
        <f t="shared" si="77"/>
        <v>5</v>
      </c>
      <c r="H520" t="str">
        <f t="shared" si="78"/>
        <v>2</v>
      </c>
      <c r="I520" t="str">
        <f t="shared" si="79"/>
        <v>0</v>
      </c>
      <c r="K520" t="str">
        <f t="shared" si="73"/>
        <v>5</v>
      </c>
      <c r="L520" t="str">
        <f t="shared" si="74"/>
        <v>2</v>
      </c>
      <c r="M520" t="str">
        <f t="shared" si="75"/>
        <v>0</v>
      </c>
      <c r="O520" s="69">
        <f t="shared" si="76"/>
        <v>7</v>
      </c>
      <c r="P520">
        <f t="shared" si="80"/>
        <v>42</v>
      </c>
      <c r="Q520" t="str">
        <f t="shared" si="81"/>
        <v xml:space="preserve"> </v>
      </c>
    </row>
    <row r="521" spans="1:17" x14ac:dyDescent="0.25">
      <c r="A521">
        <v>0</v>
      </c>
      <c r="E521">
        <v>521</v>
      </c>
      <c r="G521" t="str">
        <f t="shared" si="77"/>
        <v>5</v>
      </c>
      <c r="H521" t="str">
        <f t="shared" si="78"/>
        <v>2</v>
      </c>
      <c r="I521" t="str">
        <f t="shared" si="79"/>
        <v>1</v>
      </c>
      <c r="K521" t="str">
        <f t="shared" si="73"/>
        <v>5</v>
      </c>
      <c r="L521" t="str">
        <f t="shared" si="74"/>
        <v>2</v>
      </c>
      <c r="M521" t="str">
        <f t="shared" si="75"/>
        <v>1</v>
      </c>
      <c r="O521" s="69">
        <f t="shared" si="76"/>
        <v>8</v>
      </c>
      <c r="P521">
        <f t="shared" si="80"/>
        <v>48</v>
      </c>
      <c r="Q521" t="str">
        <f t="shared" si="81"/>
        <v xml:space="preserve"> </v>
      </c>
    </row>
    <row r="522" spans="1:17" x14ac:dyDescent="0.25">
      <c r="A522">
        <v>0</v>
      </c>
      <c r="E522">
        <v>522</v>
      </c>
      <c r="G522" t="str">
        <f t="shared" si="77"/>
        <v>5</v>
      </c>
      <c r="H522" t="str">
        <f t="shared" si="78"/>
        <v>2</v>
      </c>
      <c r="I522" t="str">
        <f t="shared" si="79"/>
        <v>2</v>
      </c>
      <c r="K522" t="str">
        <f t="shared" si="73"/>
        <v>5</v>
      </c>
      <c r="L522" t="str">
        <f t="shared" si="74"/>
        <v>2</v>
      </c>
      <c r="M522" t="str">
        <f t="shared" si="75"/>
        <v>2</v>
      </c>
      <c r="O522" s="69">
        <f t="shared" si="76"/>
        <v>9</v>
      </c>
      <c r="P522">
        <f t="shared" si="80"/>
        <v>54</v>
      </c>
      <c r="Q522" t="str">
        <f t="shared" si="81"/>
        <v xml:space="preserve"> </v>
      </c>
    </row>
    <row r="523" spans="1:17" x14ac:dyDescent="0.25">
      <c r="A523">
        <v>0</v>
      </c>
      <c r="E523">
        <v>523</v>
      </c>
      <c r="G523" t="str">
        <f t="shared" si="77"/>
        <v>5</v>
      </c>
      <c r="H523" t="str">
        <f t="shared" si="78"/>
        <v>2</v>
      </c>
      <c r="I523" t="str">
        <f t="shared" si="79"/>
        <v>3</v>
      </c>
      <c r="K523" t="str">
        <f t="shared" si="73"/>
        <v>5</v>
      </c>
      <c r="L523" t="str">
        <f t="shared" si="74"/>
        <v>2</v>
      </c>
      <c r="M523" t="str">
        <f t="shared" si="75"/>
        <v>3</v>
      </c>
      <c r="O523" s="69">
        <f t="shared" si="76"/>
        <v>10</v>
      </c>
      <c r="P523">
        <f t="shared" si="80"/>
        <v>60</v>
      </c>
      <c r="Q523" t="str">
        <f t="shared" si="81"/>
        <v xml:space="preserve"> </v>
      </c>
    </row>
    <row r="524" spans="1:17" x14ac:dyDescent="0.25">
      <c r="A524">
        <v>0</v>
      </c>
      <c r="E524">
        <v>524</v>
      </c>
      <c r="G524" t="str">
        <f t="shared" si="77"/>
        <v>5</v>
      </c>
      <c r="H524" t="str">
        <f t="shared" si="78"/>
        <v>2</v>
      </c>
      <c r="I524" t="str">
        <f t="shared" si="79"/>
        <v>4</v>
      </c>
      <c r="K524" t="str">
        <f t="shared" si="73"/>
        <v>5</v>
      </c>
      <c r="L524" t="str">
        <f t="shared" si="74"/>
        <v>2</v>
      </c>
      <c r="M524" t="str">
        <f t="shared" si="75"/>
        <v>4</v>
      </c>
      <c r="O524" s="69">
        <f t="shared" si="76"/>
        <v>11</v>
      </c>
      <c r="P524">
        <f t="shared" si="80"/>
        <v>66</v>
      </c>
      <c r="Q524" t="str">
        <f t="shared" si="81"/>
        <v xml:space="preserve"> </v>
      </c>
    </row>
    <row r="525" spans="1:17" x14ac:dyDescent="0.25">
      <c r="A525">
        <v>0</v>
      </c>
      <c r="E525">
        <v>525</v>
      </c>
      <c r="G525" t="str">
        <f t="shared" si="77"/>
        <v>5</v>
      </c>
      <c r="H525" t="str">
        <f t="shared" si="78"/>
        <v>2</v>
      </c>
      <c r="I525" t="str">
        <f t="shared" si="79"/>
        <v>5</v>
      </c>
      <c r="K525" t="str">
        <f t="shared" si="73"/>
        <v>5</v>
      </c>
      <c r="L525" t="str">
        <f t="shared" si="74"/>
        <v>2</v>
      </c>
      <c r="M525" t="str">
        <f t="shared" si="75"/>
        <v>5</v>
      </c>
      <c r="O525" s="69">
        <f t="shared" si="76"/>
        <v>12</v>
      </c>
      <c r="P525">
        <f t="shared" si="80"/>
        <v>72</v>
      </c>
      <c r="Q525" t="str">
        <f t="shared" si="81"/>
        <v xml:space="preserve"> </v>
      </c>
    </row>
    <row r="526" spans="1:17" x14ac:dyDescent="0.25">
      <c r="A526">
        <v>0</v>
      </c>
      <c r="E526">
        <v>526</v>
      </c>
      <c r="G526" t="str">
        <f t="shared" si="77"/>
        <v>5</v>
      </c>
      <c r="H526" t="str">
        <f t="shared" si="78"/>
        <v>2</v>
      </c>
      <c r="I526" t="str">
        <f t="shared" si="79"/>
        <v>6</v>
      </c>
      <c r="K526" t="str">
        <f t="shared" si="73"/>
        <v>5</v>
      </c>
      <c r="L526" t="str">
        <f t="shared" si="74"/>
        <v>2</v>
      </c>
      <c r="M526" t="str">
        <f t="shared" si="75"/>
        <v>6</v>
      </c>
      <c r="O526" s="69">
        <f t="shared" si="76"/>
        <v>13</v>
      </c>
      <c r="P526">
        <f t="shared" si="80"/>
        <v>78</v>
      </c>
      <c r="Q526" t="str">
        <f t="shared" si="81"/>
        <v xml:space="preserve"> </v>
      </c>
    </row>
    <row r="527" spans="1:17" x14ac:dyDescent="0.25">
      <c r="A527">
        <v>0</v>
      </c>
      <c r="E527">
        <v>527</v>
      </c>
      <c r="G527" t="str">
        <f t="shared" si="77"/>
        <v>5</v>
      </c>
      <c r="H527" t="str">
        <f t="shared" si="78"/>
        <v>2</v>
      </c>
      <c r="I527" t="str">
        <f t="shared" si="79"/>
        <v>7</v>
      </c>
      <c r="K527" t="str">
        <f t="shared" si="73"/>
        <v>5</v>
      </c>
      <c r="L527" t="str">
        <f t="shared" si="74"/>
        <v>2</v>
      </c>
      <c r="M527" t="str">
        <f t="shared" si="75"/>
        <v>7</v>
      </c>
      <c r="O527" s="69">
        <f t="shared" si="76"/>
        <v>14</v>
      </c>
      <c r="P527">
        <f t="shared" si="80"/>
        <v>84</v>
      </c>
      <c r="Q527" t="str">
        <f t="shared" si="81"/>
        <v xml:space="preserve"> </v>
      </c>
    </row>
    <row r="528" spans="1:17" x14ac:dyDescent="0.25">
      <c r="A528">
        <v>0</v>
      </c>
      <c r="E528">
        <v>528</v>
      </c>
      <c r="G528" t="str">
        <f t="shared" si="77"/>
        <v>5</v>
      </c>
      <c r="H528" t="str">
        <f t="shared" si="78"/>
        <v>2</v>
      </c>
      <c r="I528" t="str">
        <f t="shared" si="79"/>
        <v>8</v>
      </c>
      <c r="K528" t="str">
        <f t="shared" si="73"/>
        <v>5</v>
      </c>
      <c r="L528" t="str">
        <f t="shared" si="74"/>
        <v>2</v>
      </c>
      <c r="M528" t="str">
        <f t="shared" si="75"/>
        <v>8</v>
      </c>
      <c r="O528" s="69">
        <f t="shared" si="76"/>
        <v>15</v>
      </c>
      <c r="P528">
        <f t="shared" si="80"/>
        <v>90</v>
      </c>
      <c r="Q528" t="str">
        <f t="shared" si="81"/>
        <v xml:space="preserve"> </v>
      </c>
    </row>
    <row r="529" spans="1:17" x14ac:dyDescent="0.25">
      <c r="A529">
        <v>0</v>
      </c>
      <c r="E529">
        <v>529</v>
      </c>
      <c r="G529" t="str">
        <f t="shared" si="77"/>
        <v>5</v>
      </c>
      <c r="H529" t="str">
        <f t="shared" si="78"/>
        <v>2</v>
      </c>
      <c r="I529" t="str">
        <f t="shared" si="79"/>
        <v>9</v>
      </c>
      <c r="K529" t="str">
        <f t="shared" si="73"/>
        <v>5</v>
      </c>
      <c r="L529" t="str">
        <f t="shared" si="74"/>
        <v>2</v>
      </c>
      <c r="M529" t="str">
        <f t="shared" si="75"/>
        <v>9</v>
      </c>
      <c r="O529" s="69">
        <f t="shared" si="76"/>
        <v>16</v>
      </c>
      <c r="P529">
        <f t="shared" si="80"/>
        <v>96</v>
      </c>
      <c r="Q529" t="str">
        <f t="shared" si="81"/>
        <v xml:space="preserve"> </v>
      </c>
    </row>
    <row r="530" spans="1:17" x14ac:dyDescent="0.25">
      <c r="A530">
        <v>0</v>
      </c>
      <c r="E530">
        <v>530</v>
      </c>
      <c r="G530" t="str">
        <f t="shared" si="77"/>
        <v>5</v>
      </c>
      <c r="H530" t="str">
        <f t="shared" si="78"/>
        <v>3</v>
      </c>
      <c r="I530" t="str">
        <f t="shared" si="79"/>
        <v>0</v>
      </c>
      <c r="K530" t="str">
        <f t="shared" ref="K530:K593" si="82">+G530</f>
        <v>5</v>
      </c>
      <c r="L530" t="str">
        <f t="shared" ref="L530:L593" si="83">+H530</f>
        <v>3</v>
      </c>
      <c r="M530" t="str">
        <f t="shared" ref="M530:M593" si="84">+I530</f>
        <v>0</v>
      </c>
      <c r="O530" s="69">
        <f t="shared" si="76"/>
        <v>8</v>
      </c>
      <c r="P530">
        <f t="shared" si="80"/>
        <v>48</v>
      </c>
      <c r="Q530" t="str">
        <f t="shared" si="81"/>
        <v xml:space="preserve"> </v>
      </c>
    </row>
    <row r="531" spans="1:17" x14ac:dyDescent="0.25">
      <c r="A531">
        <v>0</v>
      </c>
      <c r="E531">
        <v>531</v>
      </c>
      <c r="G531" t="str">
        <f t="shared" si="77"/>
        <v>5</v>
      </c>
      <c r="H531" t="str">
        <f t="shared" si="78"/>
        <v>3</v>
      </c>
      <c r="I531" t="str">
        <f t="shared" si="79"/>
        <v>1</v>
      </c>
      <c r="K531" t="str">
        <f t="shared" si="82"/>
        <v>5</v>
      </c>
      <c r="L531" t="str">
        <f t="shared" si="83"/>
        <v>3</v>
      </c>
      <c r="M531" t="str">
        <f t="shared" si="84"/>
        <v>1</v>
      </c>
      <c r="O531" s="69">
        <f t="shared" si="76"/>
        <v>9</v>
      </c>
      <c r="P531">
        <f t="shared" si="80"/>
        <v>54</v>
      </c>
      <c r="Q531" t="str">
        <f t="shared" si="81"/>
        <v xml:space="preserve"> </v>
      </c>
    </row>
    <row r="532" spans="1:17" x14ac:dyDescent="0.25">
      <c r="A532">
        <v>0</v>
      </c>
      <c r="E532">
        <v>532</v>
      </c>
      <c r="G532" t="str">
        <f t="shared" si="77"/>
        <v>5</v>
      </c>
      <c r="H532" t="str">
        <f t="shared" si="78"/>
        <v>3</v>
      </c>
      <c r="I532" t="str">
        <f t="shared" si="79"/>
        <v>2</v>
      </c>
      <c r="K532" t="str">
        <f t="shared" si="82"/>
        <v>5</v>
      </c>
      <c r="L532" t="str">
        <f t="shared" si="83"/>
        <v>3</v>
      </c>
      <c r="M532" t="str">
        <f t="shared" si="84"/>
        <v>2</v>
      </c>
      <c r="O532" s="69">
        <f t="shared" si="76"/>
        <v>10</v>
      </c>
      <c r="P532">
        <f t="shared" si="80"/>
        <v>60</v>
      </c>
      <c r="Q532" t="str">
        <f t="shared" si="81"/>
        <v xml:space="preserve"> </v>
      </c>
    </row>
    <row r="533" spans="1:17" x14ac:dyDescent="0.25">
      <c r="A533">
        <v>0</v>
      </c>
      <c r="E533">
        <v>533</v>
      </c>
      <c r="G533" t="str">
        <f t="shared" si="77"/>
        <v>5</v>
      </c>
      <c r="H533" t="str">
        <f t="shared" si="78"/>
        <v>3</v>
      </c>
      <c r="I533" t="str">
        <f t="shared" si="79"/>
        <v>3</v>
      </c>
      <c r="K533" t="str">
        <f t="shared" si="82"/>
        <v>5</v>
      </c>
      <c r="L533" t="str">
        <f t="shared" si="83"/>
        <v>3</v>
      </c>
      <c r="M533" t="str">
        <f t="shared" si="84"/>
        <v>3</v>
      </c>
      <c r="O533" s="69">
        <f t="shared" si="76"/>
        <v>11</v>
      </c>
      <c r="P533">
        <f t="shared" si="80"/>
        <v>66</v>
      </c>
      <c r="Q533" t="str">
        <f t="shared" si="81"/>
        <v xml:space="preserve"> </v>
      </c>
    </row>
    <row r="534" spans="1:17" x14ac:dyDescent="0.25">
      <c r="A534">
        <v>0</v>
      </c>
      <c r="E534">
        <v>534</v>
      </c>
      <c r="G534" t="str">
        <f t="shared" si="77"/>
        <v>5</v>
      </c>
      <c r="H534" t="str">
        <f t="shared" si="78"/>
        <v>3</v>
      </c>
      <c r="I534" t="str">
        <f t="shared" si="79"/>
        <v>4</v>
      </c>
      <c r="K534" t="str">
        <f t="shared" si="82"/>
        <v>5</v>
      </c>
      <c r="L534" t="str">
        <f t="shared" si="83"/>
        <v>3</v>
      </c>
      <c r="M534" t="str">
        <f t="shared" si="84"/>
        <v>4</v>
      </c>
      <c r="O534" s="69">
        <f t="shared" si="76"/>
        <v>12</v>
      </c>
      <c r="P534">
        <f t="shared" si="80"/>
        <v>72</v>
      </c>
      <c r="Q534" t="str">
        <f t="shared" si="81"/>
        <v xml:space="preserve"> </v>
      </c>
    </row>
    <row r="535" spans="1:17" x14ac:dyDescent="0.25">
      <c r="A535">
        <v>0</v>
      </c>
      <c r="E535">
        <v>535</v>
      </c>
      <c r="G535" t="str">
        <f t="shared" si="77"/>
        <v>5</v>
      </c>
      <c r="H535" t="str">
        <f t="shared" si="78"/>
        <v>3</v>
      </c>
      <c r="I535" t="str">
        <f t="shared" si="79"/>
        <v>5</v>
      </c>
      <c r="K535" t="str">
        <f t="shared" si="82"/>
        <v>5</v>
      </c>
      <c r="L535" t="str">
        <f t="shared" si="83"/>
        <v>3</v>
      </c>
      <c r="M535" t="str">
        <f t="shared" si="84"/>
        <v>5</v>
      </c>
      <c r="O535" s="69">
        <f t="shared" si="76"/>
        <v>13</v>
      </c>
      <c r="P535">
        <f t="shared" si="80"/>
        <v>78</v>
      </c>
      <c r="Q535" t="str">
        <f t="shared" si="81"/>
        <v xml:space="preserve"> </v>
      </c>
    </row>
    <row r="536" spans="1:17" x14ac:dyDescent="0.25">
      <c r="A536">
        <v>0</v>
      </c>
      <c r="E536">
        <v>536</v>
      </c>
      <c r="G536" t="str">
        <f t="shared" si="77"/>
        <v>5</v>
      </c>
      <c r="H536" t="str">
        <f t="shared" si="78"/>
        <v>3</v>
      </c>
      <c r="I536" t="str">
        <f t="shared" si="79"/>
        <v>6</v>
      </c>
      <c r="K536" t="str">
        <f t="shared" si="82"/>
        <v>5</v>
      </c>
      <c r="L536" t="str">
        <f t="shared" si="83"/>
        <v>3</v>
      </c>
      <c r="M536" t="str">
        <f t="shared" si="84"/>
        <v>6</v>
      </c>
      <c r="O536" s="69">
        <f t="shared" si="76"/>
        <v>14</v>
      </c>
      <c r="P536">
        <f t="shared" si="80"/>
        <v>84</v>
      </c>
      <c r="Q536" t="str">
        <f t="shared" si="81"/>
        <v xml:space="preserve"> </v>
      </c>
    </row>
    <row r="537" spans="1:17" x14ac:dyDescent="0.25">
      <c r="A537">
        <v>0</v>
      </c>
      <c r="E537">
        <v>537</v>
      </c>
      <c r="G537" t="str">
        <f t="shared" si="77"/>
        <v>5</v>
      </c>
      <c r="H537" t="str">
        <f t="shared" si="78"/>
        <v>3</v>
      </c>
      <c r="I537" t="str">
        <f t="shared" si="79"/>
        <v>7</v>
      </c>
      <c r="K537" t="str">
        <f t="shared" si="82"/>
        <v>5</v>
      </c>
      <c r="L537" t="str">
        <f t="shared" si="83"/>
        <v>3</v>
      </c>
      <c r="M537" t="str">
        <f t="shared" si="84"/>
        <v>7</v>
      </c>
      <c r="O537" s="69">
        <f t="shared" si="76"/>
        <v>15</v>
      </c>
      <c r="P537">
        <f t="shared" si="80"/>
        <v>90</v>
      </c>
      <c r="Q537" t="str">
        <f t="shared" si="81"/>
        <v xml:space="preserve"> </v>
      </c>
    </row>
    <row r="538" spans="1:17" x14ac:dyDescent="0.25">
      <c r="A538">
        <v>0</v>
      </c>
      <c r="E538">
        <v>538</v>
      </c>
      <c r="G538" t="str">
        <f t="shared" si="77"/>
        <v>5</v>
      </c>
      <c r="H538" t="str">
        <f t="shared" si="78"/>
        <v>3</v>
      </c>
      <c r="I538" t="str">
        <f t="shared" si="79"/>
        <v>8</v>
      </c>
      <c r="K538" t="str">
        <f t="shared" si="82"/>
        <v>5</v>
      </c>
      <c r="L538" t="str">
        <f t="shared" si="83"/>
        <v>3</v>
      </c>
      <c r="M538" t="str">
        <f t="shared" si="84"/>
        <v>8</v>
      </c>
      <c r="O538" s="69">
        <f t="shared" si="76"/>
        <v>16</v>
      </c>
      <c r="P538">
        <f t="shared" si="80"/>
        <v>96</v>
      </c>
      <c r="Q538" t="str">
        <f t="shared" si="81"/>
        <v xml:space="preserve"> </v>
      </c>
    </row>
    <row r="539" spans="1:17" x14ac:dyDescent="0.25">
      <c r="A539">
        <v>0</v>
      </c>
      <c r="E539">
        <v>539</v>
      </c>
      <c r="G539" t="str">
        <f t="shared" si="77"/>
        <v>5</v>
      </c>
      <c r="H539" t="str">
        <f t="shared" si="78"/>
        <v>3</v>
      </c>
      <c r="I539" t="str">
        <f t="shared" si="79"/>
        <v>9</v>
      </c>
      <c r="K539" t="str">
        <f t="shared" si="82"/>
        <v>5</v>
      </c>
      <c r="L539" t="str">
        <f t="shared" si="83"/>
        <v>3</v>
      </c>
      <c r="M539" t="str">
        <f t="shared" si="84"/>
        <v>9</v>
      </c>
      <c r="O539" s="69">
        <f t="shared" si="76"/>
        <v>17</v>
      </c>
      <c r="P539">
        <f t="shared" si="80"/>
        <v>102</v>
      </c>
      <c r="Q539" t="str">
        <f t="shared" si="81"/>
        <v xml:space="preserve"> </v>
      </c>
    </row>
    <row r="540" spans="1:17" x14ac:dyDescent="0.25">
      <c r="A540">
        <v>0</v>
      </c>
      <c r="E540">
        <v>540</v>
      </c>
      <c r="G540" t="str">
        <f t="shared" si="77"/>
        <v>5</v>
      </c>
      <c r="H540" t="str">
        <f t="shared" si="78"/>
        <v>4</v>
      </c>
      <c r="I540" t="str">
        <f t="shared" si="79"/>
        <v>0</v>
      </c>
      <c r="K540" t="str">
        <f t="shared" si="82"/>
        <v>5</v>
      </c>
      <c r="L540" t="str">
        <f t="shared" si="83"/>
        <v>4</v>
      </c>
      <c r="M540" t="str">
        <f t="shared" si="84"/>
        <v>0</v>
      </c>
      <c r="O540" s="69">
        <f t="shared" si="76"/>
        <v>9</v>
      </c>
      <c r="P540">
        <f t="shared" si="80"/>
        <v>54</v>
      </c>
      <c r="Q540" t="str">
        <f t="shared" si="81"/>
        <v xml:space="preserve"> </v>
      </c>
    </row>
    <row r="541" spans="1:17" x14ac:dyDescent="0.25">
      <c r="A541">
        <v>0</v>
      </c>
      <c r="E541">
        <v>541</v>
      </c>
      <c r="G541" t="str">
        <f t="shared" si="77"/>
        <v>5</v>
      </c>
      <c r="H541" t="str">
        <f t="shared" si="78"/>
        <v>4</v>
      </c>
      <c r="I541" t="str">
        <f t="shared" si="79"/>
        <v>1</v>
      </c>
      <c r="K541" t="str">
        <f t="shared" si="82"/>
        <v>5</v>
      </c>
      <c r="L541" t="str">
        <f t="shared" si="83"/>
        <v>4</v>
      </c>
      <c r="M541" t="str">
        <f t="shared" si="84"/>
        <v>1</v>
      </c>
      <c r="O541" s="69">
        <f t="shared" si="76"/>
        <v>10</v>
      </c>
      <c r="P541">
        <f t="shared" si="80"/>
        <v>60</v>
      </c>
      <c r="Q541" t="str">
        <f t="shared" si="81"/>
        <v xml:space="preserve"> </v>
      </c>
    </row>
    <row r="542" spans="1:17" x14ac:dyDescent="0.25">
      <c r="A542">
        <v>0</v>
      </c>
      <c r="E542">
        <v>542</v>
      </c>
      <c r="G542" t="str">
        <f t="shared" si="77"/>
        <v>5</v>
      </c>
      <c r="H542" t="str">
        <f t="shared" si="78"/>
        <v>4</v>
      </c>
      <c r="I542" t="str">
        <f t="shared" si="79"/>
        <v>2</v>
      </c>
      <c r="K542" t="str">
        <f t="shared" si="82"/>
        <v>5</v>
      </c>
      <c r="L542" t="str">
        <f t="shared" si="83"/>
        <v>4</v>
      </c>
      <c r="M542" t="str">
        <f t="shared" si="84"/>
        <v>2</v>
      </c>
      <c r="O542" s="69">
        <f t="shared" si="76"/>
        <v>11</v>
      </c>
      <c r="P542">
        <f t="shared" si="80"/>
        <v>66</v>
      </c>
      <c r="Q542" t="str">
        <f t="shared" si="81"/>
        <v xml:space="preserve"> </v>
      </c>
    </row>
    <row r="543" spans="1:17" x14ac:dyDescent="0.25">
      <c r="A543">
        <v>0</v>
      </c>
      <c r="E543">
        <v>543</v>
      </c>
      <c r="G543" t="str">
        <f t="shared" si="77"/>
        <v>5</v>
      </c>
      <c r="H543" t="str">
        <f t="shared" si="78"/>
        <v>4</v>
      </c>
      <c r="I543" t="str">
        <f t="shared" si="79"/>
        <v>3</v>
      </c>
      <c r="K543" t="str">
        <f t="shared" si="82"/>
        <v>5</v>
      </c>
      <c r="L543" t="str">
        <f t="shared" si="83"/>
        <v>4</v>
      </c>
      <c r="M543" t="str">
        <f t="shared" si="84"/>
        <v>3</v>
      </c>
      <c r="O543" s="69">
        <f t="shared" si="76"/>
        <v>12</v>
      </c>
      <c r="P543">
        <f t="shared" si="80"/>
        <v>72</v>
      </c>
      <c r="Q543" t="str">
        <f t="shared" si="81"/>
        <v xml:space="preserve"> </v>
      </c>
    </row>
    <row r="544" spans="1:17" x14ac:dyDescent="0.25">
      <c r="A544">
        <v>0</v>
      </c>
      <c r="E544">
        <v>544</v>
      </c>
      <c r="G544" t="str">
        <f t="shared" si="77"/>
        <v>5</v>
      </c>
      <c r="H544" t="str">
        <f t="shared" si="78"/>
        <v>4</v>
      </c>
      <c r="I544" t="str">
        <f t="shared" si="79"/>
        <v>4</v>
      </c>
      <c r="K544" t="str">
        <f t="shared" si="82"/>
        <v>5</v>
      </c>
      <c r="L544" t="str">
        <f t="shared" si="83"/>
        <v>4</v>
      </c>
      <c r="M544" t="str">
        <f t="shared" si="84"/>
        <v>4</v>
      </c>
      <c r="O544" s="69">
        <f t="shared" si="76"/>
        <v>13</v>
      </c>
      <c r="P544">
        <f t="shared" si="80"/>
        <v>78</v>
      </c>
      <c r="Q544" t="str">
        <f t="shared" si="81"/>
        <v xml:space="preserve"> </v>
      </c>
    </row>
    <row r="545" spans="1:17" x14ac:dyDescent="0.25">
      <c r="A545">
        <v>0</v>
      </c>
      <c r="E545">
        <v>545</v>
      </c>
      <c r="G545" t="str">
        <f t="shared" si="77"/>
        <v>5</v>
      </c>
      <c r="H545" t="str">
        <f t="shared" si="78"/>
        <v>4</v>
      </c>
      <c r="I545" t="str">
        <f t="shared" si="79"/>
        <v>5</v>
      </c>
      <c r="K545" t="str">
        <f t="shared" si="82"/>
        <v>5</v>
      </c>
      <c r="L545" t="str">
        <f t="shared" si="83"/>
        <v>4</v>
      </c>
      <c r="M545" t="str">
        <f t="shared" si="84"/>
        <v>5</v>
      </c>
      <c r="O545" s="69">
        <f t="shared" si="76"/>
        <v>14</v>
      </c>
      <c r="P545">
        <f t="shared" si="80"/>
        <v>84</v>
      </c>
      <c r="Q545" t="str">
        <f t="shared" si="81"/>
        <v xml:space="preserve"> </v>
      </c>
    </row>
    <row r="546" spans="1:17" x14ac:dyDescent="0.25">
      <c r="A546">
        <v>0</v>
      </c>
      <c r="E546">
        <v>546</v>
      </c>
      <c r="G546" t="str">
        <f t="shared" si="77"/>
        <v>5</v>
      </c>
      <c r="H546" t="str">
        <f t="shared" si="78"/>
        <v>4</v>
      </c>
      <c r="I546" t="str">
        <f t="shared" si="79"/>
        <v>6</v>
      </c>
      <c r="K546" t="str">
        <f t="shared" si="82"/>
        <v>5</v>
      </c>
      <c r="L546" t="str">
        <f t="shared" si="83"/>
        <v>4</v>
      </c>
      <c r="M546" t="str">
        <f t="shared" si="84"/>
        <v>6</v>
      </c>
      <c r="O546" s="69">
        <f t="shared" si="76"/>
        <v>15</v>
      </c>
      <c r="P546">
        <f t="shared" si="80"/>
        <v>90</v>
      </c>
      <c r="Q546" t="str">
        <f t="shared" si="81"/>
        <v xml:space="preserve"> </v>
      </c>
    </row>
    <row r="547" spans="1:17" x14ac:dyDescent="0.25">
      <c r="A547">
        <v>0</v>
      </c>
      <c r="E547">
        <v>547</v>
      </c>
      <c r="G547" t="str">
        <f t="shared" si="77"/>
        <v>5</v>
      </c>
      <c r="H547" t="str">
        <f t="shared" si="78"/>
        <v>4</v>
      </c>
      <c r="I547" t="str">
        <f t="shared" si="79"/>
        <v>7</v>
      </c>
      <c r="K547" t="str">
        <f t="shared" si="82"/>
        <v>5</v>
      </c>
      <c r="L547" t="str">
        <f t="shared" si="83"/>
        <v>4</v>
      </c>
      <c r="M547" t="str">
        <f t="shared" si="84"/>
        <v>7</v>
      </c>
      <c r="O547" s="69">
        <f t="shared" si="76"/>
        <v>16</v>
      </c>
      <c r="P547">
        <f t="shared" si="80"/>
        <v>96</v>
      </c>
      <c r="Q547" t="str">
        <f t="shared" si="81"/>
        <v xml:space="preserve"> </v>
      </c>
    </row>
    <row r="548" spans="1:17" x14ac:dyDescent="0.25">
      <c r="A548">
        <v>0</v>
      </c>
      <c r="E548">
        <v>548</v>
      </c>
      <c r="G548" t="str">
        <f t="shared" si="77"/>
        <v>5</v>
      </c>
      <c r="H548" t="str">
        <f t="shared" si="78"/>
        <v>4</v>
      </c>
      <c r="I548" t="str">
        <f t="shared" si="79"/>
        <v>8</v>
      </c>
      <c r="K548" t="str">
        <f t="shared" si="82"/>
        <v>5</v>
      </c>
      <c r="L548" t="str">
        <f t="shared" si="83"/>
        <v>4</v>
      </c>
      <c r="M548" t="str">
        <f t="shared" si="84"/>
        <v>8</v>
      </c>
      <c r="O548" s="69">
        <f t="shared" si="76"/>
        <v>17</v>
      </c>
      <c r="P548">
        <f t="shared" si="80"/>
        <v>102</v>
      </c>
      <c r="Q548" t="str">
        <f t="shared" si="81"/>
        <v xml:space="preserve"> </v>
      </c>
    </row>
    <row r="549" spans="1:17" x14ac:dyDescent="0.25">
      <c r="A549">
        <v>0</v>
      </c>
      <c r="E549">
        <v>549</v>
      </c>
      <c r="G549" t="str">
        <f t="shared" si="77"/>
        <v>5</v>
      </c>
      <c r="H549" t="str">
        <f t="shared" si="78"/>
        <v>4</v>
      </c>
      <c r="I549" t="str">
        <f t="shared" si="79"/>
        <v>9</v>
      </c>
      <c r="K549" t="str">
        <f t="shared" si="82"/>
        <v>5</v>
      </c>
      <c r="L549" t="str">
        <f t="shared" si="83"/>
        <v>4</v>
      </c>
      <c r="M549" t="str">
        <f t="shared" si="84"/>
        <v>9</v>
      </c>
      <c r="O549" s="69">
        <f t="shared" ref="O549:O612" si="85">+K549+L549+M549</f>
        <v>18</v>
      </c>
      <c r="P549">
        <f t="shared" si="80"/>
        <v>108</v>
      </c>
      <c r="Q549" t="str">
        <f t="shared" si="81"/>
        <v xml:space="preserve"> </v>
      </c>
    </row>
    <row r="550" spans="1:17" x14ac:dyDescent="0.25">
      <c r="A550">
        <v>0</v>
      </c>
      <c r="E550">
        <v>550</v>
      </c>
      <c r="G550" t="str">
        <f t="shared" si="77"/>
        <v>5</v>
      </c>
      <c r="H550" t="str">
        <f t="shared" si="78"/>
        <v>5</v>
      </c>
      <c r="I550" t="str">
        <f t="shared" si="79"/>
        <v>0</v>
      </c>
      <c r="K550" t="str">
        <f t="shared" si="82"/>
        <v>5</v>
      </c>
      <c r="L550" t="str">
        <f t="shared" si="83"/>
        <v>5</v>
      </c>
      <c r="M550" t="str">
        <f t="shared" si="84"/>
        <v>0</v>
      </c>
      <c r="O550" s="69">
        <f t="shared" si="85"/>
        <v>10</v>
      </c>
      <c r="P550">
        <f t="shared" si="80"/>
        <v>60</v>
      </c>
      <c r="Q550" t="str">
        <f t="shared" si="81"/>
        <v xml:space="preserve"> </v>
      </c>
    </row>
    <row r="551" spans="1:17" x14ac:dyDescent="0.25">
      <c r="A551">
        <v>0</v>
      </c>
      <c r="E551">
        <v>551</v>
      </c>
      <c r="G551" t="str">
        <f t="shared" si="77"/>
        <v>5</v>
      </c>
      <c r="H551" t="str">
        <f t="shared" si="78"/>
        <v>5</v>
      </c>
      <c r="I551" t="str">
        <f t="shared" si="79"/>
        <v>1</v>
      </c>
      <c r="K551" t="str">
        <f t="shared" si="82"/>
        <v>5</v>
      </c>
      <c r="L551" t="str">
        <f t="shared" si="83"/>
        <v>5</v>
      </c>
      <c r="M551" t="str">
        <f t="shared" si="84"/>
        <v>1</v>
      </c>
      <c r="O551" s="69">
        <f t="shared" si="85"/>
        <v>11</v>
      </c>
      <c r="P551">
        <f t="shared" si="80"/>
        <v>66</v>
      </c>
      <c r="Q551" t="str">
        <f t="shared" si="81"/>
        <v xml:space="preserve"> </v>
      </c>
    </row>
    <row r="552" spans="1:17" x14ac:dyDescent="0.25">
      <c r="A552">
        <v>0</v>
      </c>
      <c r="E552">
        <v>552</v>
      </c>
      <c r="G552" t="str">
        <f t="shared" si="77"/>
        <v>5</v>
      </c>
      <c r="H552" t="str">
        <f t="shared" si="78"/>
        <v>5</v>
      </c>
      <c r="I552" t="str">
        <f t="shared" si="79"/>
        <v>2</v>
      </c>
      <c r="K552" t="str">
        <f t="shared" si="82"/>
        <v>5</v>
      </c>
      <c r="L552" t="str">
        <f t="shared" si="83"/>
        <v>5</v>
      </c>
      <c r="M552" t="str">
        <f t="shared" si="84"/>
        <v>2</v>
      </c>
      <c r="O552" s="69">
        <f t="shared" si="85"/>
        <v>12</v>
      </c>
      <c r="P552">
        <f t="shared" si="80"/>
        <v>72</v>
      </c>
      <c r="Q552" t="str">
        <f t="shared" si="81"/>
        <v xml:space="preserve"> </v>
      </c>
    </row>
    <row r="553" spans="1:17" x14ac:dyDescent="0.25">
      <c r="A553">
        <v>0</v>
      </c>
      <c r="E553">
        <v>553</v>
      </c>
      <c r="G553" t="str">
        <f t="shared" si="77"/>
        <v>5</v>
      </c>
      <c r="H553" t="str">
        <f t="shared" si="78"/>
        <v>5</v>
      </c>
      <c r="I553" t="str">
        <f t="shared" si="79"/>
        <v>3</v>
      </c>
      <c r="K553" t="str">
        <f t="shared" si="82"/>
        <v>5</v>
      </c>
      <c r="L553" t="str">
        <f t="shared" si="83"/>
        <v>5</v>
      </c>
      <c r="M553" t="str">
        <f t="shared" si="84"/>
        <v>3</v>
      </c>
      <c r="O553" s="69">
        <f t="shared" si="85"/>
        <v>13</v>
      </c>
      <c r="P553">
        <f t="shared" si="80"/>
        <v>78</v>
      </c>
      <c r="Q553" t="str">
        <f t="shared" si="81"/>
        <v xml:space="preserve"> </v>
      </c>
    </row>
    <row r="554" spans="1:17" x14ac:dyDescent="0.25">
      <c r="A554">
        <v>0</v>
      </c>
      <c r="E554">
        <v>554</v>
      </c>
      <c r="G554" t="str">
        <f t="shared" si="77"/>
        <v>5</v>
      </c>
      <c r="H554" t="str">
        <f t="shared" si="78"/>
        <v>5</v>
      </c>
      <c r="I554" t="str">
        <f t="shared" si="79"/>
        <v>4</v>
      </c>
      <c r="K554" t="str">
        <f t="shared" si="82"/>
        <v>5</v>
      </c>
      <c r="L554" t="str">
        <f t="shared" si="83"/>
        <v>5</v>
      </c>
      <c r="M554" t="str">
        <f t="shared" si="84"/>
        <v>4</v>
      </c>
      <c r="O554" s="69">
        <f t="shared" si="85"/>
        <v>14</v>
      </c>
      <c r="P554">
        <f t="shared" si="80"/>
        <v>84</v>
      </c>
      <c r="Q554" t="str">
        <f t="shared" si="81"/>
        <v xml:space="preserve"> </v>
      </c>
    </row>
    <row r="555" spans="1:17" x14ac:dyDescent="0.25">
      <c r="A555">
        <v>0</v>
      </c>
      <c r="E555">
        <v>555</v>
      </c>
      <c r="G555" t="str">
        <f t="shared" si="77"/>
        <v>5</v>
      </c>
      <c r="H555" t="str">
        <f t="shared" si="78"/>
        <v>5</v>
      </c>
      <c r="I555" t="str">
        <f t="shared" si="79"/>
        <v>5</v>
      </c>
      <c r="K555" t="str">
        <f t="shared" si="82"/>
        <v>5</v>
      </c>
      <c r="L555" t="str">
        <f t="shared" si="83"/>
        <v>5</v>
      </c>
      <c r="M555" t="str">
        <f t="shared" si="84"/>
        <v>5</v>
      </c>
      <c r="O555" s="69">
        <f t="shared" si="85"/>
        <v>15</v>
      </c>
      <c r="P555">
        <f t="shared" si="80"/>
        <v>90</v>
      </c>
      <c r="Q555" t="str">
        <f t="shared" si="81"/>
        <v xml:space="preserve"> </v>
      </c>
    </row>
    <row r="556" spans="1:17" x14ac:dyDescent="0.25">
      <c r="A556">
        <v>0</v>
      </c>
      <c r="E556">
        <v>556</v>
      </c>
      <c r="G556" t="str">
        <f t="shared" si="77"/>
        <v>5</v>
      </c>
      <c r="H556" t="str">
        <f t="shared" si="78"/>
        <v>5</v>
      </c>
      <c r="I556" t="str">
        <f t="shared" si="79"/>
        <v>6</v>
      </c>
      <c r="K556" t="str">
        <f t="shared" si="82"/>
        <v>5</v>
      </c>
      <c r="L556" t="str">
        <f t="shared" si="83"/>
        <v>5</v>
      </c>
      <c r="M556" t="str">
        <f t="shared" si="84"/>
        <v>6</v>
      </c>
      <c r="O556" s="69">
        <f t="shared" si="85"/>
        <v>16</v>
      </c>
      <c r="P556">
        <f t="shared" si="80"/>
        <v>96</v>
      </c>
      <c r="Q556" t="str">
        <f t="shared" si="81"/>
        <v xml:space="preserve"> </v>
      </c>
    </row>
    <row r="557" spans="1:17" x14ac:dyDescent="0.25">
      <c r="A557">
        <v>0</v>
      </c>
      <c r="E557">
        <v>557</v>
      </c>
      <c r="G557" t="str">
        <f t="shared" si="77"/>
        <v>5</v>
      </c>
      <c r="H557" t="str">
        <f t="shared" si="78"/>
        <v>5</v>
      </c>
      <c r="I557" t="str">
        <f t="shared" si="79"/>
        <v>7</v>
      </c>
      <c r="K557" t="str">
        <f t="shared" si="82"/>
        <v>5</v>
      </c>
      <c r="L557" t="str">
        <f t="shared" si="83"/>
        <v>5</v>
      </c>
      <c r="M557" t="str">
        <f t="shared" si="84"/>
        <v>7</v>
      </c>
      <c r="O557" s="69">
        <f t="shared" si="85"/>
        <v>17</v>
      </c>
      <c r="P557">
        <f t="shared" si="80"/>
        <v>102</v>
      </c>
      <c r="Q557" t="str">
        <f t="shared" si="81"/>
        <v xml:space="preserve"> </v>
      </c>
    </row>
    <row r="558" spans="1:17" x14ac:dyDescent="0.25">
      <c r="A558">
        <v>0</v>
      </c>
      <c r="E558">
        <v>558</v>
      </c>
      <c r="G558" t="str">
        <f t="shared" si="77"/>
        <v>5</v>
      </c>
      <c r="H558" t="str">
        <f t="shared" si="78"/>
        <v>5</v>
      </c>
      <c r="I558" t="str">
        <f t="shared" si="79"/>
        <v>8</v>
      </c>
      <c r="K558" t="str">
        <f t="shared" si="82"/>
        <v>5</v>
      </c>
      <c r="L558" t="str">
        <f t="shared" si="83"/>
        <v>5</v>
      </c>
      <c r="M558" t="str">
        <f t="shared" si="84"/>
        <v>8</v>
      </c>
      <c r="O558" s="69">
        <f t="shared" si="85"/>
        <v>18</v>
      </c>
      <c r="P558">
        <f t="shared" si="80"/>
        <v>108</v>
      </c>
      <c r="Q558" t="str">
        <f t="shared" si="81"/>
        <v xml:space="preserve"> </v>
      </c>
    </row>
    <row r="559" spans="1:17" x14ac:dyDescent="0.25">
      <c r="A559">
        <v>0</v>
      </c>
      <c r="E559">
        <v>559</v>
      </c>
      <c r="G559" t="str">
        <f t="shared" si="77"/>
        <v>5</v>
      </c>
      <c r="H559" t="str">
        <f t="shared" si="78"/>
        <v>5</v>
      </c>
      <c r="I559" t="str">
        <f t="shared" si="79"/>
        <v>9</v>
      </c>
      <c r="K559" t="str">
        <f t="shared" si="82"/>
        <v>5</v>
      </c>
      <c r="L559" t="str">
        <f t="shared" si="83"/>
        <v>5</v>
      </c>
      <c r="M559" t="str">
        <f t="shared" si="84"/>
        <v>9</v>
      </c>
      <c r="O559" s="69">
        <f t="shared" si="85"/>
        <v>19</v>
      </c>
      <c r="P559">
        <f t="shared" si="80"/>
        <v>114</v>
      </c>
      <c r="Q559" t="str">
        <f t="shared" si="81"/>
        <v xml:space="preserve"> </v>
      </c>
    </row>
    <row r="560" spans="1:17" x14ac:dyDescent="0.25">
      <c r="A560">
        <v>0</v>
      </c>
      <c r="E560">
        <v>560</v>
      </c>
      <c r="G560" t="str">
        <f t="shared" si="77"/>
        <v>5</v>
      </c>
      <c r="H560" t="str">
        <f t="shared" si="78"/>
        <v>6</v>
      </c>
      <c r="I560" t="str">
        <f t="shared" si="79"/>
        <v>0</v>
      </c>
      <c r="K560" t="str">
        <f t="shared" si="82"/>
        <v>5</v>
      </c>
      <c r="L560" t="str">
        <f t="shared" si="83"/>
        <v>6</v>
      </c>
      <c r="M560" t="str">
        <f t="shared" si="84"/>
        <v>0</v>
      </c>
      <c r="O560" s="69">
        <f t="shared" si="85"/>
        <v>11</v>
      </c>
      <c r="P560">
        <f t="shared" si="80"/>
        <v>66</v>
      </c>
      <c r="Q560" t="str">
        <f t="shared" si="81"/>
        <v xml:space="preserve"> </v>
      </c>
    </row>
    <row r="561" spans="1:17" x14ac:dyDescent="0.25">
      <c r="A561">
        <v>0</v>
      </c>
      <c r="E561">
        <v>561</v>
      </c>
      <c r="G561" t="str">
        <f t="shared" si="77"/>
        <v>5</v>
      </c>
      <c r="H561" t="str">
        <f t="shared" si="78"/>
        <v>6</v>
      </c>
      <c r="I561" t="str">
        <f t="shared" si="79"/>
        <v>1</v>
      </c>
      <c r="K561" t="str">
        <f t="shared" si="82"/>
        <v>5</v>
      </c>
      <c r="L561" t="str">
        <f t="shared" si="83"/>
        <v>6</v>
      </c>
      <c r="M561" t="str">
        <f t="shared" si="84"/>
        <v>1</v>
      </c>
      <c r="O561" s="69">
        <f t="shared" si="85"/>
        <v>12</v>
      </c>
      <c r="P561">
        <f t="shared" si="80"/>
        <v>72</v>
      </c>
      <c r="Q561" t="str">
        <f t="shared" si="81"/>
        <v xml:space="preserve"> </v>
      </c>
    </row>
    <row r="562" spans="1:17" x14ac:dyDescent="0.25">
      <c r="A562">
        <v>0</v>
      </c>
      <c r="E562">
        <v>562</v>
      </c>
      <c r="G562" t="str">
        <f t="shared" si="77"/>
        <v>5</v>
      </c>
      <c r="H562" t="str">
        <f t="shared" si="78"/>
        <v>6</v>
      </c>
      <c r="I562" t="str">
        <f t="shared" si="79"/>
        <v>2</v>
      </c>
      <c r="K562" t="str">
        <f t="shared" si="82"/>
        <v>5</v>
      </c>
      <c r="L562" t="str">
        <f t="shared" si="83"/>
        <v>6</v>
      </c>
      <c r="M562" t="str">
        <f t="shared" si="84"/>
        <v>2</v>
      </c>
      <c r="O562" s="69">
        <f t="shared" si="85"/>
        <v>13</v>
      </c>
      <c r="P562">
        <f t="shared" si="80"/>
        <v>78</v>
      </c>
      <c r="Q562" t="str">
        <f t="shared" si="81"/>
        <v xml:space="preserve"> </v>
      </c>
    </row>
    <row r="563" spans="1:17" x14ac:dyDescent="0.25">
      <c r="A563">
        <v>0</v>
      </c>
      <c r="E563">
        <v>563</v>
      </c>
      <c r="G563" t="str">
        <f t="shared" si="77"/>
        <v>5</v>
      </c>
      <c r="H563" t="str">
        <f t="shared" si="78"/>
        <v>6</v>
      </c>
      <c r="I563" t="str">
        <f t="shared" si="79"/>
        <v>3</v>
      </c>
      <c r="K563" t="str">
        <f t="shared" si="82"/>
        <v>5</v>
      </c>
      <c r="L563" t="str">
        <f t="shared" si="83"/>
        <v>6</v>
      </c>
      <c r="M563" t="str">
        <f t="shared" si="84"/>
        <v>3</v>
      </c>
      <c r="O563" s="69">
        <f t="shared" si="85"/>
        <v>14</v>
      </c>
      <c r="P563">
        <f t="shared" si="80"/>
        <v>84</v>
      </c>
      <c r="Q563" t="str">
        <f t="shared" si="81"/>
        <v xml:space="preserve"> </v>
      </c>
    </row>
    <row r="564" spans="1:17" x14ac:dyDescent="0.25">
      <c r="A564">
        <v>0</v>
      </c>
      <c r="E564">
        <v>564</v>
      </c>
      <c r="G564" t="str">
        <f t="shared" si="77"/>
        <v>5</v>
      </c>
      <c r="H564" t="str">
        <f t="shared" si="78"/>
        <v>6</v>
      </c>
      <c r="I564" t="str">
        <f t="shared" si="79"/>
        <v>4</v>
      </c>
      <c r="K564" t="str">
        <f t="shared" si="82"/>
        <v>5</v>
      </c>
      <c r="L564" t="str">
        <f t="shared" si="83"/>
        <v>6</v>
      </c>
      <c r="M564" t="str">
        <f t="shared" si="84"/>
        <v>4</v>
      </c>
      <c r="O564" s="69">
        <f t="shared" si="85"/>
        <v>15</v>
      </c>
      <c r="P564">
        <f t="shared" si="80"/>
        <v>90</v>
      </c>
      <c r="Q564" t="str">
        <f t="shared" si="81"/>
        <v xml:space="preserve"> </v>
      </c>
    </row>
    <row r="565" spans="1:17" x14ac:dyDescent="0.25">
      <c r="A565">
        <v>0</v>
      </c>
      <c r="E565">
        <v>565</v>
      </c>
      <c r="G565" t="str">
        <f t="shared" si="77"/>
        <v>5</v>
      </c>
      <c r="H565" t="str">
        <f t="shared" si="78"/>
        <v>6</v>
      </c>
      <c r="I565" t="str">
        <f t="shared" si="79"/>
        <v>5</v>
      </c>
      <c r="K565" t="str">
        <f t="shared" si="82"/>
        <v>5</v>
      </c>
      <c r="L565" t="str">
        <f t="shared" si="83"/>
        <v>6</v>
      </c>
      <c r="M565" t="str">
        <f t="shared" si="84"/>
        <v>5</v>
      </c>
      <c r="O565" s="69">
        <f t="shared" si="85"/>
        <v>16</v>
      </c>
      <c r="P565">
        <f t="shared" si="80"/>
        <v>96</v>
      </c>
      <c r="Q565" t="str">
        <f t="shared" si="81"/>
        <v xml:space="preserve"> </v>
      </c>
    </row>
    <row r="566" spans="1:17" x14ac:dyDescent="0.25">
      <c r="A566">
        <v>0</v>
      </c>
      <c r="E566">
        <v>566</v>
      </c>
      <c r="G566" t="str">
        <f t="shared" si="77"/>
        <v>5</v>
      </c>
      <c r="H566" t="str">
        <f t="shared" si="78"/>
        <v>6</v>
      </c>
      <c r="I566" t="str">
        <f t="shared" si="79"/>
        <v>6</v>
      </c>
      <c r="K566" t="str">
        <f t="shared" si="82"/>
        <v>5</v>
      </c>
      <c r="L566" t="str">
        <f t="shared" si="83"/>
        <v>6</v>
      </c>
      <c r="M566" t="str">
        <f t="shared" si="84"/>
        <v>6</v>
      </c>
      <c r="O566" s="69">
        <f t="shared" si="85"/>
        <v>17</v>
      </c>
      <c r="P566">
        <f t="shared" si="80"/>
        <v>102</v>
      </c>
      <c r="Q566" t="str">
        <f t="shared" si="81"/>
        <v xml:space="preserve"> </v>
      </c>
    </row>
    <row r="567" spans="1:17" x14ac:dyDescent="0.25">
      <c r="A567">
        <v>0</v>
      </c>
      <c r="E567">
        <v>567</v>
      </c>
      <c r="G567" t="str">
        <f t="shared" si="77"/>
        <v>5</v>
      </c>
      <c r="H567" t="str">
        <f t="shared" si="78"/>
        <v>6</v>
      </c>
      <c r="I567" t="str">
        <f t="shared" si="79"/>
        <v>7</v>
      </c>
      <c r="K567" t="str">
        <f t="shared" si="82"/>
        <v>5</v>
      </c>
      <c r="L567" t="str">
        <f t="shared" si="83"/>
        <v>6</v>
      </c>
      <c r="M567" t="str">
        <f t="shared" si="84"/>
        <v>7</v>
      </c>
      <c r="O567" s="69">
        <f t="shared" si="85"/>
        <v>18</v>
      </c>
      <c r="P567">
        <f t="shared" si="80"/>
        <v>108</v>
      </c>
      <c r="Q567" t="str">
        <f t="shared" si="81"/>
        <v xml:space="preserve"> </v>
      </c>
    </row>
    <row r="568" spans="1:17" x14ac:dyDescent="0.25">
      <c r="A568">
        <v>0</v>
      </c>
      <c r="E568">
        <v>568</v>
      </c>
      <c r="G568" t="str">
        <f t="shared" si="77"/>
        <v>5</v>
      </c>
      <c r="H568" t="str">
        <f t="shared" si="78"/>
        <v>6</v>
      </c>
      <c r="I568" t="str">
        <f t="shared" si="79"/>
        <v>8</v>
      </c>
      <c r="K568" t="str">
        <f t="shared" si="82"/>
        <v>5</v>
      </c>
      <c r="L568" t="str">
        <f t="shared" si="83"/>
        <v>6</v>
      </c>
      <c r="M568" t="str">
        <f t="shared" si="84"/>
        <v>8</v>
      </c>
      <c r="O568" s="69">
        <f t="shared" si="85"/>
        <v>19</v>
      </c>
      <c r="P568">
        <f t="shared" si="80"/>
        <v>114</v>
      </c>
      <c r="Q568" t="str">
        <f t="shared" si="81"/>
        <v xml:space="preserve"> </v>
      </c>
    </row>
    <row r="569" spans="1:17" x14ac:dyDescent="0.25">
      <c r="A569">
        <v>0</v>
      </c>
      <c r="E569">
        <v>569</v>
      </c>
      <c r="G569" t="str">
        <f t="shared" si="77"/>
        <v>5</v>
      </c>
      <c r="H569" t="str">
        <f t="shared" si="78"/>
        <v>6</v>
      </c>
      <c r="I569" t="str">
        <f t="shared" si="79"/>
        <v>9</v>
      </c>
      <c r="K569" t="str">
        <f t="shared" si="82"/>
        <v>5</v>
      </c>
      <c r="L569" t="str">
        <f t="shared" si="83"/>
        <v>6</v>
      </c>
      <c r="M569" t="str">
        <f t="shared" si="84"/>
        <v>9</v>
      </c>
      <c r="O569" s="69">
        <f t="shared" si="85"/>
        <v>20</v>
      </c>
      <c r="P569">
        <f t="shared" si="80"/>
        <v>120</v>
      </c>
      <c r="Q569" t="str">
        <f t="shared" si="81"/>
        <v xml:space="preserve"> </v>
      </c>
    </row>
    <row r="570" spans="1:17" x14ac:dyDescent="0.25">
      <c r="A570">
        <v>0</v>
      </c>
      <c r="E570">
        <v>570</v>
      </c>
      <c r="G570" t="str">
        <f t="shared" si="77"/>
        <v>5</v>
      </c>
      <c r="H570" t="str">
        <f t="shared" si="78"/>
        <v>7</v>
      </c>
      <c r="I570" t="str">
        <f t="shared" si="79"/>
        <v>0</v>
      </c>
      <c r="K570" t="str">
        <f t="shared" si="82"/>
        <v>5</v>
      </c>
      <c r="L570" t="str">
        <f t="shared" si="83"/>
        <v>7</v>
      </c>
      <c r="M570" t="str">
        <f t="shared" si="84"/>
        <v>0</v>
      </c>
      <c r="O570" s="69">
        <f t="shared" si="85"/>
        <v>12</v>
      </c>
      <c r="P570">
        <f t="shared" si="80"/>
        <v>72</v>
      </c>
      <c r="Q570" t="str">
        <f t="shared" si="81"/>
        <v xml:space="preserve"> </v>
      </c>
    </row>
    <row r="571" spans="1:17" x14ac:dyDescent="0.25">
      <c r="A571">
        <v>0</v>
      </c>
      <c r="E571">
        <v>571</v>
      </c>
      <c r="G571" t="str">
        <f t="shared" si="77"/>
        <v>5</v>
      </c>
      <c r="H571" t="str">
        <f t="shared" si="78"/>
        <v>7</v>
      </c>
      <c r="I571" t="str">
        <f t="shared" si="79"/>
        <v>1</v>
      </c>
      <c r="K571" t="str">
        <f t="shared" si="82"/>
        <v>5</v>
      </c>
      <c r="L571" t="str">
        <f t="shared" si="83"/>
        <v>7</v>
      </c>
      <c r="M571" t="str">
        <f t="shared" si="84"/>
        <v>1</v>
      </c>
      <c r="O571" s="69">
        <f t="shared" si="85"/>
        <v>13</v>
      </c>
      <c r="P571">
        <f t="shared" si="80"/>
        <v>78</v>
      </c>
      <c r="Q571" t="str">
        <f t="shared" si="81"/>
        <v xml:space="preserve"> </v>
      </c>
    </row>
    <row r="572" spans="1:17" x14ac:dyDescent="0.25">
      <c r="A572">
        <v>0</v>
      </c>
      <c r="E572">
        <v>572</v>
      </c>
      <c r="G572" t="str">
        <f t="shared" si="77"/>
        <v>5</v>
      </c>
      <c r="H572" t="str">
        <f t="shared" si="78"/>
        <v>7</v>
      </c>
      <c r="I572" t="str">
        <f t="shared" si="79"/>
        <v>2</v>
      </c>
      <c r="K572" t="str">
        <f t="shared" si="82"/>
        <v>5</v>
      </c>
      <c r="L572" t="str">
        <f t="shared" si="83"/>
        <v>7</v>
      </c>
      <c r="M572" t="str">
        <f t="shared" si="84"/>
        <v>2</v>
      </c>
      <c r="O572" s="69">
        <f t="shared" si="85"/>
        <v>14</v>
      </c>
      <c r="P572">
        <f t="shared" si="80"/>
        <v>84</v>
      </c>
      <c r="Q572" t="str">
        <f t="shared" si="81"/>
        <v xml:space="preserve"> </v>
      </c>
    </row>
    <row r="573" spans="1:17" x14ac:dyDescent="0.25">
      <c r="A573">
        <v>0</v>
      </c>
      <c r="E573">
        <v>573</v>
      </c>
      <c r="G573" t="str">
        <f t="shared" si="77"/>
        <v>5</v>
      </c>
      <c r="H573" t="str">
        <f t="shared" si="78"/>
        <v>7</v>
      </c>
      <c r="I573" t="str">
        <f t="shared" si="79"/>
        <v>3</v>
      </c>
      <c r="K573" t="str">
        <f t="shared" si="82"/>
        <v>5</v>
      </c>
      <c r="L573" t="str">
        <f t="shared" si="83"/>
        <v>7</v>
      </c>
      <c r="M573" t="str">
        <f t="shared" si="84"/>
        <v>3</v>
      </c>
      <c r="O573" s="69">
        <f t="shared" si="85"/>
        <v>15</v>
      </c>
      <c r="P573">
        <f t="shared" si="80"/>
        <v>90</v>
      </c>
      <c r="Q573" t="str">
        <f t="shared" si="81"/>
        <v xml:space="preserve"> </v>
      </c>
    </row>
    <row r="574" spans="1:17" x14ac:dyDescent="0.25">
      <c r="A574">
        <v>0</v>
      </c>
      <c r="E574">
        <v>574</v>
      </c>
      <c r="G574" t="str">
        <f t="shared" si="77"/>
        <v>5</v>
      </c>
      <c r="H574" t="str">
        <f t="shared" si="78"/>
        <v>7</v>
      </c>
      <c r="I574" t="str">
        <f t="shared" si="79"/>
        <v>4</v>
      </c>
      <c r="K574" t="str">
        <f t="shared" si="82"/>
        <v>5</v>
      </c>
      <c r="L574" t="str">
        <f t="shared" si="83"/>
        <v>7</v>
      </c>
      <c r="M574" t="str">
        <f t="shared" si="84"/>
        <v>4</v>
      </c>
      <c r="O574" s="69">
        <f t="shared" si="85"/>
        <v>16</v>
      </c>
      <c r="P574">
        <f t="shared" si="80"/>
        <v>96</v>
      </c>
      <c r="Q574" t="str">
        <f t="shared" si="81"/>
        <v xml:space="preserve"> </v>
      </c>
    </row>
    <row r="575" spans="1:17" x14ac:dyDescent="0.25">
      <c r="A575">
        <v>0</v>
      </c>
      <c r="E575">
        <v>575</v>
      </c>
      <c r="G575" t="str">
        <f t="shared" si="77"/>
        <v>5</v>
      </c>
      <c r="H575" t="str">
        <f t="shared" si="78"/>
        <v>7</v>
      </c>
      <c r="I575" t="str">
        <f t="shared" si="79"/>
        <v>5</v>
      </c>
      <c r="K575" t="str">
        <f t="shared" si="82"/>
        <v>5</v>
      </c>
      <c r="L575" t="str">
        <f t="shared" si="83"/>
        <v>7</v>
      </c>
      <c r="M575" t="str">
        <f t="shared" si="84"/>
        <v>5</v>
      </c>
      <c r="O575" s="69">
        <f t="shared" si="85"/>
        <v>17</v>
      </c>
      <c r="P575">
        <f t="shared" si="80"/>
        <v>102</v>
      </c>
      <c r="Q575" t="str">
        <f t="shared" si="81"/>
        <v xml:space="preserve"> </v>
      </c>
    </row>
    <row r="576" spans="1:17" x14ac:dyDescent="0.25">
      <c r="A576">
        <v>0</v>
      </c>
      <c r="E576">
        <v>576</v>
      </c>
      <c r="G576" t="str">
        <f t="shared" si="77"/>
        <v>5</v>
      </c>
      <c r="H576" t="str">
        <f t="shared" si="78"/>
        <v>7</v>
      </c>
      <c r="I576" t="str">
        <f t="shared" si="79"/>
        <v>6</v>
      </c>
      <c r="K576" t="str">
        <f t="shared" si="82"/>
        <v>5</v>
      </c>
      <c r="L576" t="str">
        <f t="shared" si="83"/>
        <v>7</v>
      </c>
      <c r="M576" t="str">
        <f t="shared" si="84"/>
        <v>6</v>
      </c>
      <c r="O576" s="69">
        <f t="shared" si="85"/>
        <v>18</v>
      </c>
      <c r="P576">
        <f t="shared" si="80"/>
        <v>108</v>
      </c>
      <c r="Q576" t="str">
        <f t="shared" si="81"/>
        <v xml:space="preserve"> </v>
      </c>
    </row>
    <row r="577" spans="1:17" x14ac:dyDescent="0.25">
      <c r="A577">
        <v>0</v>
      </c>
      <c r="E577">
        <v>577</v>
      </c>
      <c r="G577" t="str">
        <f t="shared" si="77"/>
        <v>5</v>
      </c>
      <c r="H577" t="str">
        <f t="shared" si="78"/>
        <v>7</v>
      </c>
      <c r="I577" t="str">
        <f t="shared" si="79"/>
        <v>7</v>
      </c>
      <c r="K577" t="str">
        <f t="shared" si="82"/>
        <v>5</v>
      </c>
      <c r="L577" t="str">
        <f t="shared" si="83"/>
        <v>7</v>
      </c>
      <c r="M577" t="str">
        <f t="shared" si="84"/>
        <v>7</v>
      </c>
      <c r="O577" s="69">
        <f t="shared" si="85"/>
        <v>19</v>
      </c>
      <c r="P577">
        <f t="shared" si="80"/>
        <v>114</v>
      </c>
      <c r="Q577" t="str">
        <f t="shared" si="81"/>
        <v xml:space="preserve"> </v>
      </c>
    </row>
    <row r="578" spans="1:17" x14ac:dyDescent="0.25">
      <c r="A578">
        <v>0</v>
      </c>
      <c r="E578">
        <v>578</v>
      </c>
      <c r="G578" t="str">
        <f t="shared" ref="G578:G641" si="86">+MID(E578,1,1)</f>
        <v>5</v>
      </c>
      <c r="H578" t="str">
        <f t="shared" ref="H578:H641" si="87">+MID(E578,2,1)</f>
        <v>7</v>
      </c>
      <c r="I578" t="str">
        <f t="shared" ref="I578:I641" si="88">+MID(E578,3,1)</f>
        <v>8</v>
      </c>
      <c r="K578" t="str">
        <f t="shared" si="82"/>
        <v>5</v>
      </c>
      <c r="L578" t="str">
        <f t="shared" si="83"/>
        <v>7</v>
      </c>
      <c r="M578" t="str">
        <f t="shared" si="84"/>
        <v>8</v>
      </c>
      <c r="O578" s="69">
        <f t="shared" si="85"/>
        <v>20</v>
      </c>
      <c r="P578">
        <f t="shared" ref="P578:P641" si="89">+O578*6</f>
        <v>120</v>
      </c>
      <c r="Q578" t="str">
        <f t="shared" ref="Q578:Q641" si="90">+IF(P578=E578,"OK"," ")</f>
        <v xml:space="preserve"> </v>
      </c>
    </row>
    <row r="579" spans="1:17" x14ac:dyDescent="0.25">
      <c r="A579">
        <v>0</v>
      </c>
      <c r="E579">
        <v>579</v>
      </c>
      <c r="G579" t="str">
        <f t="shared" si="86"/>
        <v>5</v>
      </c>
      <c r="H579" t="str">
        <f t="shared" si="87"/>
        <v>7</v>
      </c>
      <c r="I579" t="str">
        <f t="shared" si="88"/>
        <v>9</v>
      </c>
      <c r="K579" t="str">
        <f t="shared" si="82"/>
        <v>5</v>
      </c>
      <c r="L579" t="str">
        <f t="shared" si="83"/>
        <v>7</v>
      </c>
      <c r="M579" t="str">
        <f t="shared" si="84"/>
        <v>9</v>
      </c>
      <c r="O579" s="69">
        <f t="shared" si="85"/>
        <v>21</v>
      </c>
      <c r="P579">
        <f t="shared" si="89"/>
        <v>126</v>
      </c>
      <c r="Q579" t="str">
        <f t="shared" si="90"/>
        <v xml:space="preserve"> </v>
      </c>
    </row>
    <row r="580" spans="1:17" x14ac:dyDescent="0.25">
      <c r="A580">
        <v>0</v>
      </c>
      <c r="E580">
        <v>580</v>
      </c>
      <c r="G580" t="str">
        <f t="shared" si="86"/>
        <v>5</v>
      </c>
      <c r="H580" t="str">
        <f t="shared" si="87"/>
        <v>8</v>
      </c>
      <c r="I580" t="str">
        <f t="shared" si="88"/>
        <v>0</v>
      </c>
      <c r="K580" t="str">
        <f t="shared" si="82"/>
        <v>5</v>
      </c>
      <c r="L580" t="str">
        <f t="shared" si="83"/>
        <v>8</v>
      </c>
      <c r="M580" t="str">
        <f t="shared" si="84"/>
        <v>0</v>
      </c>
      <c r="O580" s="69">
        <f t="shared" si="85"/>
        <v>13</v>
      </c>
      <c r="P580">
        <f t="shared" si="89"/>
        <v>78</v>
      </c>
      <c r="Q580" t="str">
        <f t="shared" si="90"/>
        <v xml:space="preserve"> </v>
      </c>
    </row>
    <row r="581" spans="1:17" x14ac:dyDescent="0.25">
      <c r="A581">
        <v>0</v>
      </c>
      <c r="E581">
        <v>581</v>
      </c>
      <c r="G581" t="str">
        <f t="shared" si="86"/>
        <v>5</v>
      </c>
      <c r="H581" t="str">
        <f t="shared" si="87"/>
        <v>8</v>
      </c>
      <c r="I581" t="str">
        <f t="shared" si="88"/>
        <v>1</v>
      </c>
      <c r="K581" t="str">
        <f t="shared" si="82"/>
        <v>5</v>
      </c>
      <c r="L581" t="str">
        <f t="shared" si="83"/>
        <v>8</v>
      </c>
      <c r="M581" t="str">
        <f t="shared" si="84"/>
        <v>1</v>
      </c>
      <c r="O581" s="69">
        <f t="shared" si="85"/>
        <v>14</v>
      </c>
      <c r="P581">
        <f t="shared" si="89"/>
        <v>84</v>
      </c>
      <c r="Q581" t="str">
        <f t="shared" si="90"/>
        <v xml:space="preserve"> </v>
      </c>
    </row>
    <row r="582" spans="1:17" x14ac:dyDescent="0.25">
      <c r="A582">
        <v>0</v>
      </c>
      <c r="E582">
        <v>582</v>
      </c>
      <c r="G582" t="str">
        <f t="shared" si="86"/>
        <v>5</v>
      </c>
      <c r="H582" t="str">
        <f t="shared" si="87"/>
        <v>8</v>
      </c>
      <c r="I582" t="str">
        <f t="shared" si="88"/>
        <v>2</v>
      </c>
      <c r="K582" t="str">
        <f t="shared" si="82"/>
        <v>5</v>
      </c>
      <c r="L582" t="str">
        <f t="shared" si="83"/>
        <v>8</v>
      </c>
      <c r="M582" t="str">
        <f t="shared" si="84"/>
        <v>2</v>
      </c>
      <c r="O582" s="69">
        <f t="shared" si="85"/>
        <v>15</v>
      </c>
      <c r="P582">
        <f t="shared" si="89"/>
        <v>90</v>
      </c>
      <c r="Q582" t="str">
        <f t="shared" si="90"/>
        <v xml:space="preserve"> </v>
      </c>
    </row>
    <row r="583" spans="1:17" x14ac:dyDescent="0.25">
      <c r="A583">
        <v>0</v>
      </c>
      <c r="E583">
        <v>583</v>
      </c>
      <c r="G583" t="str">
        <f t="shared" si="86"/>
        <v>5</v>
      </c>
      <c r="H583" t="str">
        <f t="shared" si="87"/>
        <v>8</v>
      </c>
      <c r="I583" t="str">
        <f t="shared" si="88"/>
        <v>3</v>
      </c>
      <c r="K583" t="str">
        <f t="shared" si="82"/>
        <v>5</v>
      </c>
      <c r="L583" t="str">
        <f t="shared" si="83"/>
        <v>8</v>
      </c>
      <c r="M583" t="str">
        <f t="shared" si="84"/>
        <v>3</v>
      </c>
      <c r="O583" s="69">
        <f t="shared" si="85"/>
        <v>16</v>
      </c>
      <c r="P583">
        <f t="shared" si="89"/>
        <v>96</v>
      </c>
      <c r="Q583" t="str">
        <f t="shared" si="90"/>
        <v xml:space="preserve"> </v>
      </c>
    </row>
    <row r="584" spans="1:17" x14ac:dyDescent="0.25">
      <c r="A584">
        <v>0</v>
      </c>
      <c r="E584">
        <v>584</v>
      </c>
      <c r="G584" t="str">
        <f t="shared" si="86"/>
        <v>5</v>
      </c>
      <c r="H584" t="str">
        <f t="shared" si="87"/>
        <v>8</v>
      </c>
      <c r="I584" t="str">
        <f t="shared" si="88"/>
        <v>4</v>
      </c>
      <c r="K584" t="str">
        <f t="shared" si="82"/>
        <v>5</v>
      </c>
      <c r="L584" t="str">
        <f t="shared" si="83"/>
        <v>8</v>
      </c>
      <c r="M584" t="str">
        <f t="shared" si="84"/>
        <v>4</v>
      </c>
      <c r="O584" s="69">
        <f t="shared" si="85"/>
        <v>17</v>
      </c>
      <c r="P584">
        <f t="shared" si="89"/>
        <v>102</v>
      </c>
      <c r="Q584" t="str">
        <f t="shared" si="90"/>
        <v xml:space="preserve"> </v>
      </c>
    </row>
    <row r="585" spans="1:17" x14ac:dyDescent="0.25">
      <c r="A585">
        <v>0</v>
      </c>
      <c r="E585">
        <v>585</v>
      </c>
      <c r="G585" t="str">
        <f t="shared" si="86"/>
        <v>5</v>
      </c>
      <c r="H585" t="str">
        <f t="shared" si="87"/>
        <v>8</v>
      </c>
      <c r="I585" t="str">
        <f t="shared" si="88"/>
        <v>5</v>
      </c>
      <c r="K585" t="str">
        <f t="shared" si="82"/>
        <v>5</v>
      </c>
      <c r="L585" t="str">
        <f t="shared" si="83"/>
        <v>8</v>
      </c>
      <c r="M585" t="str">
        <f t="shared" si="84"/>
        <v>5</v>
      </c>
      <c r="O585" s="69">
        <f t="shared" si="85"/>
        <v>18</v>
      </c>
      <c r="P585">
        <f t="shared" si="89"/>
        <v>108</v>
      </c>
      <c r="Q585" t="str">
        <f t="shared" si="90"/>
        <v xml:space="preserve"> </v>
      </c>
    </row>
    <row r="586" spans="1:17" x14ac:dyDescent="0.25">
      <c r="A586">
        <v>0</v>
      </c>
      <c r="E586">
        <v>586</v>
      </c>
      <c r="G586" t="str">
        <f t="shared" si="86"/>
        <v>5</v>
      </c>
      <c r="H586" t="str">
        <f t="shared" si="87"/>
        <v>8</v>
      </c>
      <c r="I586" t="str">
        <f t="shared" si="88"/>
        <v>6</v>
      </c>
      <c r="K586" t="str">
        <f t="shared" si="82"/>
        <v>5</v>
      </c>
      <c r="L586" t="str">
        <f t="shared" si="83"/>
        <v>8</v>
      </c>
      <c r="M586" t="str">
        <f t="shared" si="84"/>
        <v>6</v>
      </c>
      <c r="O586" s="69">
        <f t="shared" si="85"/>
        <v>19</v>
      </c>
      <c r="P586">
        <f t="shared" si="89"/>
        <v>114</v>
      </c>
      <c r="Q586" t="str">
        <f t="shared" si="90"/>
        <v xml:space="preserve"> </v>
      </c>
    </row>
    <row r="587" spans="1:17" x14ac:dyDescent="0.25">
      <c r="A587">
        <v>0</v>
      </c>
      <c r="E587">
        <v>587</v>
      </c>
      <c r="G587" t="str">
        <f t="shared" si="86"/>
        <v>5</v>
      </c>
      <c r="H587" t="str">
        <f t="shared" si="87"/>
        <v>8</v>
      </c>
      <c r="I587" t="str">
        <f t="shared" si="88"/>
        <v>7</v>
      </c>
      <c r="K587" t="str">
        <f t="shared" si="82"/>
        <v>5</v>
      </c>
      <c r="L587" t="str">
        <f t="shared" si="83"/>
        <v>8</v>
      </c>
      <c r="M587" t="str">
        <f t="shared" si="84"/>
        <v>7</v>
      </c>
      <c r="O587" s="69">
        <f t="shared" si="85"/>
        <v>20</v>
      </c>
      <c r="P587">
        <f t="shared" si="89"/>
        <v>120</v>
      </c>
      <c r="Q587" t="str">
        <f t="shared" si="90"/>
        <v xml:space="preserve"> </v>
      </c>
    </row>
    <row r="588" spans="1:17" x14ac:dyDescent="0.25">
      <c r="A588">
        <v>0</v>
      </c>
      <c r="E588">
        <v>588</v>
      </c>
      <c r="G588" t="str">
        <f t="shared" si="86"/>
        <v>5</v>
      </c>
      <c r="H588" t="str">
        <f t="shared" si="87"/>
        <v>8</v>
      </c>
      <c r="I588" t="str">
        <f t="shared" si="88"/>
        <v>8</v>
      </c>
      <c r="K588" t="str">
        <f t="shared" si="82"/>
        <v>5</v>
      </c>
      <c r="L588" t="str">
        <f t="shared" si="83"/>
        <v>8</v>
      </c>
      <c r="M588" t="str">
        <f t="shared" si="84"/>
        <v>8</v>
      </c>
      <c r="O588" s="69">
        <f t="shared" si="85"/>
        <v>21</v>
      </c>
      <c r="P588">
        <f t="shared" si="89"/>
        <v>126</v>
      </c>
      <c r="Q588" t="str">
        <f t="shared" si="90"/>
        <v xml:space="preserve"> </v>
      </c>
    </row>
    <row r="589" spans="1:17" x14ac:dyDescent="0.25">
      <c r="A589">
        <v>0</v>
      </c>
      <c r="E589">
        <v>589</v>
      </c>
      <c r="G589" t="str">
        <f t="shared" si="86"/>
        <v>5</v>
      </c>
      <c r="H589" t="str">
        <f t="shared" si="87"/>
        <v>8</v>
      </c>
      <c r="I589" t="str">
        <f t="shared" si="88"/>
        <v>9</v>
      </c>
      <c r="K589" t="str">
        <f t="shared" si="82"/>
        <v>5</v>
      </c>
      <c r="L589" t="str">
        <f t="shared" si="83"/>
        <v>8</v>
      </c>
      <c r="M589" t="str">
        <f t="shared" si="84"/>
        <v>9</v>
      </c>
      <c r="O589" s="69">
        <f t="shared" si="85"/>
        <v>22</v>
      </c>
      <c r="P589">
        <f t="shared" si="89"/>
        <v>132</v>
      </c>
      <c r="Q589" t="str">
        <f t="shared" si="90"/>
        <v xml:space="preserve"> </v>
      </c>
    </row>
    <row r="590" spans="1:17" x14ac:dyDescent="0.25">
      <c r="A590">
        <v>0</v>
      </c>
      <c r="E590">
        <v>590</v>
      </c>
      <c r="G590" t="str">
        <f t="shared" si="86"/>
        <v>5</v>
      </c>
      <c r="H590" t="str">
        <f t="shared" si="87"/>
        <v>9</v>
      </c>
      <c r="I590" t="str">
        <f t="shared" si="88"/>
        <v>0</v>
      </c>
      <c r="K590" t="str">
        <f t="shared" si="82"/>
        <v>5</v>
      </c>
      <c r="L590" t="str">
        <f t="shared" si="83"/>
        <v>9</v>
      </c>
      <c r="M590" t="str">
        <f t="shared" si="84"/>
        <v>0</v>
      </c>
      <c r="O590" s="69">
        <f t="shared" si="85"/>
        <v>14</v>
      </c>
      <c r="P590">
        <f t="shared" si="89"/>
        <v>84</v>
      </c>
      <c r="Q590" t="str">
        <f t="shared" si="90"/>
        <v xml:space="preserve"> </v>
      </c>
    </row>
    <row r="591" spans="1:17" x14ac:dyDescent="0.25">
      <c r="A591">
        <v>0</v>
      </c>
      <c r="E591">
        <v>591</v>
      </c>
      <c r="G591" t="str">
        <f t="shared" si="86"/>
        <v>5</v>
      </c>
      <c r="H591" t="str">
        <f t="shared" si="87"/>
        <v>9</v>
      </c>
      <c r="I591" t="str">
        <f t="shared" si="88"/>
        <v>1</v>
      </c>
      <c r="K591" t="str">
        <f t="shared" si="82"/>
        <v>5</v>
      </c>
      <c r="L591" t="str">
        <f t="shared" si="83"/>
        <v>9</v>
      </c>
      <c r="M591" t="str">
        <f t="shared" si="84"/>
        <v>1</v>
      </c>
      <c r="O591" s="69">
        <f t="shared" si="85"/>
        <v>15</v>
      </c>
      <c r="P591">
        <f t="shared" si="89"/>
        <v>90</v>
      </c>
      <c r="Q591" t="str">
        <f t="shared" si="90"/>
        <v xml:space="preserve"> </v>
      </c>
    </row>
    <row r="592" spans="1:17" x14ac:dyDescent="0.25">
      <c r="A592">
        <v>0</v>
      </c>
      <c r="E592">
        <v>592</v>
      </c>
      <c r="G592" t="str">
        <f t="shared" si="86"/>
        <v>5</v>
      </c>
      <c r="H592" t="str">
        <f t="shared" si="87"/>
        <v>9</v>
      </c>
      <c r="I592" t="str">
        <f t="shared" si="88"/>
        <v>2</v>
      </c>
      <c r="K592" t="str">
        <f t="shared" si="82"/>
        <v>5</v>
      </c>
      <c r="L592" t="str">
        <f t="shared" si="83"/>
        <v>9</v>
      </c>
      <c r="M592" t="str">
        <f t="shared" si="84"/>
        <v>2</v>
      </c>
      <c r="O592" s="69">
        <f t="shared" si="85"/>
        <v>16</v>
      </c>
      <c r="P592">
        <f t="shared" si="89"/>
        <v>96</v>
      </c>
      <c r="Q592" t="str">
        <f t="shared" si="90"/>
        <v xml:space="preserve"> </v>
      </c>
    </row>
    <row r="593" spans="1:17" x14ac:dyDescent="0.25">
      <c r="A593">
        <v>0</v>
      </c>
      <c r="E593">
        <v>593</v>
      </c>
      <c r="G593" t="str">
        <f t="shared" si="86"/>
        <v>5</v>
      </c>
      <c r="H593" t="str">
        <f t="shared" si="87"/>
        <v>9</v>
      </c>
      <c r="I593" t="str">
        <f t="shared" si="88"/>
        <v>3</v>
      </c>
      <c r="K593" t="str">
        <f t="shared" si="82"/>
        <v>5</v>
      </c>
      <c r="L593" t="str">
        <f t="shared" si="83"/>
        <v>9</v>
      </c>
      <c r="M593" t="str">
        <f t="shared" si="84"/>
        <v>3</v>
      </c>
      <c r="O593" s="69">
        <f t="shared" si="85"/>
        <v>17</v>
      </c>
      <c r="P593">
        <f t="shared" si="89"/>
        <v>102</v>
      </c>
      <c r="Q593" t="str">
        <f t="shared" si="90"/>
        <v xml:space="preserve"> </v>
      </c>
    </row>
    <row r="594" spans="1:17" x14ac:dyDescent="0.25">
      <c r="A594">
        <v>0</v>
      </c>
      <c r="E594">
        <v>594</v>
      </c>
      <c r="G594" t="str">
        <f t="shared" si="86"/>
        <v>5</v>
      </c>
      <c r="H594" t="str">
        <f t="shared" si="87"/>
        <v>9</v>
      </c>
      <c r="I594" t="str">
        <f t="shared" si="88"/>
        <v>4</v>
      </c>
      <c r="K594" t="str">
        <f t="shared" ref="K594:K657" si="91">+G594</f>
        <v>5</v>
      </c>
      <c r="L594" t="str">
        <f t="shared" ref="L594:L657" si="92">+H594</f>
        <v>9</v>
      </c>
      <c r="M594" t="str">
        <f t="shared" ref="M594:M657" si="93">+I594</f>
        <v>4</v>
      </c>
      <c r="O594" s="69">
        <f t="shared" si="85"/>
        <v>18</v>
      </c>
      <c r="P594">
        <f t="shared" si="89"/>
        <v>108</v>
      </c>
      <c r="Q594" t="str">
        <f t="shared" si="90"/>
        <v xml:space="preserve"> </v>
      </c>
    </row>
    <row r="595" spans="1:17" x14ac:dyDescent="0.25">
      <c r="A595">
        <v>0</v>
      </c>
      <c r="E595">
        <v>595</v>
      </c>
      <c r="G595" t="str">
        <f t="shared" si="86"/>
        <v>5</v>
      </c>
      <c r="H595" t="str">
        <f t="shared" si="87"/>
        <v>9</v>
      </c>
      <c r="I595" t="str">
        <f t="shared" si="88"/>
        <v>5</v>
      </c>
      <c r="K595" t="str">
        <f t="shared" si="91"/>
        <v>5</v>
      </c>
      <c r="L595" t="str">
        <f t="shared" si="92"/>
        <v>9</v>
      </c>
      <c r="M595" t="str">
        <f t="shared" si="93"/>
        <v>5</v>
      </c>
      <c r="O595" s="69">
        <f t="shared" si="85"/>
        <v>19</v>
      </c>
      <c r="P595">
        <f t="shared" si="89"/>
        <v>114</v>
      </c>
      <c r="Q595" t="str">
        <f t="shared" si="90"/>
        <v xml:space="preserve"> </v>
      </c>
    </row>
    <row r="596" spans="1:17" x14ac:dyDescent="0.25">
      <c r="A596">
        <v>0</v>
      </c>
      <c r="E596">
        <v>596</v>
      </c>
      <c r="G596" t="str">
        <f t="shared" si="86"/>
        <v>5</v>
      </c>
      <c r="H596" t="str">
        <f t="shared" si="87"/>
        <v>9</v>
      </c>
      <c r="I596" t="str">
        <f t="shared" si="88"/>
        <v>6</v>
      </c>
      <c r="K596" t="str">
        <f t="shared" si="91"/>
        <v>5</v>
      </c>
      <c r="L596" t="str">
        <f t="shared" si="92"/>
        <v>9</v>
      </c>
      <c r="M596" t="str">
        <f t="shared" si="93"/>
        <v>6</v>
      </c>
      <c r="O596" s="69">
        <f t="shared" si="85"/>
        <v>20</v>
      </c>
      <c r="P596">
        <f t="shared" si="89"/>
        <v>120</v>
      </c>
      <c r="Q596" t="str">
        <f t="shared" si="90"/>
        <v xml:space="preserve"> </v>
      </c>
    </row>
    <row r="597" spans="1:17" x14ac:dyDescent="0.25">
      <c r="A597">
        <v>0</v>
      </c>
      <c r="E597">
        <v>597</v>
      </c>
      <c r="G597" t="str">
        <f t="shared" si="86"/>
        <v>5</v>
      </c>
      <c r="H597" t="str">
        <f t="shared" si="87"/>
        <v>9</v>
      </c>
      <c r="I597" t="str">
        <f t="shared" si="88"/>
        <v>7</v>
      </c>
      <c r="K597" t="str">
        <f t="shared" si="91"/>
        <v>5</v>
      </c>
      <c r="L597" t="str">
        <f t="shared" si="92"/>
        <v>9</v>
      </c>
      <c r="M597" t="str">
        <f t="shared" si="93"/>
        <v>7</v>
      </c>
      <c r="O597" s="69">
        <f t="shared" si="85"/>
        <v>21</v>
      </c>
      <c r="P597">
        <f t="shared" si="89"/>
        <v>126</v>
      </c>
      <c r="Q597" t="str">
        <f t="shared" si="90"/>
        <v xml:space="preserve"> </v>
      </c>
    </row>
    <row r="598" spans="1:17" x14ac:dyDescent="0.25">
      <c r="A598">
        <v>0</v>
      </c>
      <c r="E598">
        <v>598</v>
      </c>
      <c r="G598" t="str">
        <f t="shared" si="86"/>
        <v>5</v>
      </c>
      <c r="H598" t="str">
        <f t="shared" si="87"/>
        <v>9</v>
      </c>
      <c r="I598" t="str">
        <f t="shared" si="88"/>
        <v>8</v>
      </c>
      <c r="K598" t="str">
        <f t="shared" si="91"/>
        <v>5</v>
      </c>
      <c r="L598" t="str">
        <f t="shared" si="92"/>
        <v>9</v>
      </c>
      <c r="M598" t="str">
        <f t="shared" si="93"/>
        <v>8</v>
      </c>
      <c r="O598" s="69">
        <f t="shared" si="85"/>
        <v>22</v>
      </c>
      <c r="P598">
        <f t="shared" si="89"/>
        <v>132</v>
      </c>
      <c r="Q598" t="str">
        <f t="shared" si="90"/>
        <v xml:space="preserve"> </v>
      </c>
    </row>
    <row r="599" spans="1:17" x14ac:dyDescent="0.25">
      <c r="A599">
        <v>0</v>
      </c>
      <c r="E599">
        <v>599</v>
      </c>
      <c r="G599" t="str">
        <f t="shared" si="86"/>
        <v>5</v>
      </c>
      <c r="H599" t="str">
        <f t="shared" si="87"/>
        <v>9</v>
      </c>
      <c r="I599" t="str">
        <f t="shared" si="88"/>
        <v>9</v>
      </c>
      <c r="K599" t="str">
        <f t="shared" si="91"/>
        <v>5</v>
      </c>
      <c r="L599" t="str">
        <f t="shared" si="92"/>
        <v>9</v>
      </c>
      <c r="M599" t="str">
        <f t="shared" si="93"/>
        <v>9</v>
      </c>
      <c r="O599" s="69">
        <f t="shared" si="85"/>
        <v>23</v>
      </c>
      <c r="P599">
        <f t="shared" si="89"/>
        <v>138</v>
      </c>
      <c r="Q599" t="str">
        <f t="shared" si="90"/>
        <v xml:space="preserve"> </v>
      </c>
    </row>
    <row r="600" spans="1:17" x14ac:dyDescent="0.25">
      <c r="A600">
        <v>0</v>
      </c>
      <c r="E600">
        <v>600</v>
      </c>
      <c r="G600" t="str">
        <f t="shared" si="86"/>
        <v>6</v>
      </c>
      <c r="H600" t="str">
        <f t="shared" si="87"/>
        <v>0</v>
      </c>
      <c r="I600" t="str">
        <f t="shared" si="88"/>
        <v>0</v>
      </c>
      <c r="K600" t="str">
        <f t="shared" si="91"/>
        <v>6</v>
      </c>
      <c r="L600" t="str">
        <f t="shared" si="92"/>
        <v>0</v>
      </c>
      <c r="M600" t="str">
        <f t="shared" si="93"/>
        <v>0</v>
      </c>
      <c r="O600" s="69">
        <f t="shared" si="85"/>
        <v>6</v>
      </c>
      <c r="P600">
        <f t="shared" si="89"/>
        <v>36</v>
      </c>
      <c r="Q600" t="str">
        <f t="shared" si="90"/>
        <v xml:space="preserve"> </v>
      </c>
    </row>
    <row r="601" spans="1:17" x14ac:dyDescent="0.25">
      <c r="A601">
        <v>0</v>
      </c>
      <c r="E601">
        <v>601</v>
      </c>
      <c r="G601" t="str">
        <f t="shared" si="86"/>
        <v>6</v>
      </c>
      <c r="H601" t="str">
        <f t="shared" si="87"/>
        <v>0</v>
      </c>
      <c r="I601" t="str">
        <f t="shared" si="88"/>
        <v>1</v>
      </c>
      <c r="K601" t="str">
        <f t="shared" si="91"/>
        <v>6</v>
      </c>
      <c r="L601" t="str">
        <f t="shared" si="92"/>
        <v>0</v>
      </c>
      <c r="M601" t="str">
        <f t="shared" si="93"/>
        <v>1</v>
      </c>
      <c r="O601" s="69">
        <f t="shared" si="85"/>
        <v>7</v>
      </c>
      <c r="P601">
        <f t="shared" si="89"/>
        <v>42</v>
      </c>
      <c r="Q601" t="str">
        <f t="shared" si="90"/>
        <v xml:space="preserve"> </v>
      </c>
    </row>
    <row r="602" spans="1:17" x14ac:dyDescent="0.25">
      <c r="A602">
        <v>0</v>
      </c>
      <c r="E602">
        <v>602</v>
      </c>
      <c r="G602" t="str">
        <f t="shared" si="86"/>
        <v>6</v>
      </c>
      <c r="H602" t="str">
        <f t="shared" si="87"/>
        <v>0</v>
      </c>
      <c r="I602" t="str">
        <f t="shared" si="88"/>
        <v>2</v>
      </c>
      <c r="K602" t="str">
        <f t="shared" si="91"/>
        <v>6</v>
      </c>
      <c r="L602" t="str">
        <f t="shared" si="92"/>
        <v>0</v>
      </c>
      <c r="M602" t="str">
        <f t="shared" si="93"/>
        <v>2</v>
      </c>
      <c r="O602" s="69">
        <f t="shared" si="85"/>
        <v>8</v>
      </c>
      <c r="P602">
        <f t="shared" si="89"/>
        <v>48</v>
      </c>
      <c r="Q602" t="str">
        <f t="shared" si="90"/>
        <v xml:space="preserve"> </v>
      </c>
    </row>
    <row r="603" spans="1:17" x14ac:dyDescent="0.25">
      <c r="A603">
        <v>0</v>
      </c>
      <c r="E603">
        <v>603</v>
      </c>
      <c r="G603" t="str">
        <f t="shared" si="86"/>
        <v>6</v>
      </c>
      <c r="H603" t="str">
        <f t="shared" si="87"/>
        <v>0</v>
      </c>
      <c r="I603" t="str">
        <f t="shared" si="88"/>
        <v>3</v>
      </c>
      <c r="K603" t="str">
        <f t="shared" si="91"/>
        <v>6</v>
      </c>
      <c r="L603" t="str">
        <f t="shared" si="92"/>
        <v>0</v>
      </c>
      <c r="M603" t="str">
        <f t="shared" si="93"/>
        <v>3</v>
      </c>
      <c r="O603" s="69">
        <f t="shared" si="85"/>
        <v>9</v>
      </c>
      <c r="P603">
        <f t="shared" si="89"/>
        <v>54</v>
      </c>
      <c r="Q603" t="str">
        <f t="shared" si="90"/>
        <v xml:space="preserve"> </v>
      </c>
    </row>
    <row r="604" spans="1:17" x14ac:dyDescent="0.25">
      <c r="A604">
        <v>0</v>
      </c>
      <c r="E604">
        <v>604</v>
      </c>
      <c r="G604" t="str">
        <f t="shared" si="86"/>
        <v>6</v>
      </c>
      <c r="H604" t="str">
        <f t="shared" si="87"/>
        <v>0</v>
      </c>
      <c r="I604" t="str">
        <f t="shared" si="88"/>
        <v>4</v>
      </c>
      <c r="K604" t="str">
        <f t="shared" si="91"/>
        <v>6</v>
      </c>
      <c r="L604" t="str">
        <f t="shared" si="92"/>
        <v>0</v>
      </c>
      <c r="M604" t="str">
        <f t="shared" si="93"/>
        <v>4</v>
      </c>
      <c r="O604" s="69">
        <f t="shared" si="85"/>
        <v>10</v>
      </c>
      <c r="P604">
        <f t="shared" si="89"/>
        <v>60</v>
      </c>
      <c r="Q604" t="str">
        <f t="shared" si="90"/>
        <v xml:space="preserve"> </v>
      </c>
    </row>
    <row r="605" spans="1:17" x14ac:dyDescent="0.25">
      <c r="A605">
        <v>0</v>
      </c>
      <c r="E605">
        <v>605</v>
      </c>
      <c r="G605" t="str">
        <f t="shared" si="86"/>
        <v>6</v>
      </c>
      <c r="H605" t="str">
        <f t="shared" si="87"/>
        <v>0</v>
      </c>
      <c r="I605" t="str">
        <f t="shared" si="88"/>
        <v>5</v>
      </c>
      <c r="K605" t="str">
        <f t="shared" si="91"/>
        <v>6</v>
      </c>
      <c r="L605" t="str">
        <f t="shared" si="92"/>
        <v>0</v>
      </c>
      <c r="M605" t="str">
        <f t="shared" si="93"/>
        <v>5</v>
      </c>
      <c r="O605" s="69">
        <f t="shared" si="85"/>
        <v>11</v>
      </c>
      <c r="P605">
        <f t="shared" si="89"/>
        <v>66</v>
      </c>
      <c r="Q605" t="str">
        <f t="shared" si="90"/>
        <v xml:space="preserve"> </v>
      </c>
    </row>
    <row r="606" spans="1:17" x14ac:dyDescent="0.25">
      <c r="A606">
        <v>0</v>
      </c>
      <c r="E606">
        <v>606</v>
      </c>
      <c r="G606" t="str">
        <f t="shared" si="86"/>
        <v>6</v>
      </c>
      <c r="H606" t="str">
        <f t="shared" si="87"/>
        <v>0</v>
      </c>
      <c r="I606" t="str">
        <f t="shared" si="88"/>
        <v>6</v>
      </c>
      <c r="K606" t="str">
        <f t="shared" si="91"/>
        <v>6</v>
      </c>
      <c r="L606" t="str">
        <f t="shared" si="92"/>
        <v>0</v>
      </c>
      <c r="M606" t="str">
        <f t="shared" si="93"/>
        <v>6</v>
      </c>
      <c r="O606" s="69">
        <f t="shared" si="85"/>
        <v>12</v>
      </c>
      <c r="P606">
        <f t="shared" si="89"/>
        <v>72</v>
      </c>
      <c r="Q606" t="str">
        <f t="shared" si="90"/>
        <v xml:space="preserve"> </v>
      </c>
    </row>
    <row r="607" spans="1:17" x14ac:dyDescent="0.25">
      <c r="A607">
        <v>0</v>
      </c>
      <c r="E607">
        <v>607</v>
      </c>
      <c r="G607" t="str">
        <f t="shared" si="86"/>
        <v>6</v>
      </c>
      <c r="H607" t="str">
        <f t="shared" si="87"/>
        <v>0</v>
      </c>
      <c r="I607" t="str">
        <f t="shared" si="88"/>
        <v>7</v>
      </c>
      <c r="K607" t="str">
        <f t="shared" si="91"/>
        <v>6</v>
      </c>
      <c r="L607" t="str">
        <f t="shared" si="92"/>
        <v>0</v>
      </c>
      <c r="M607" t="str">
        <f t="shared" si="93"/>
        <v>7</v>
      </c>
      <c r="O607" s="69">
        <f t="shared" si="85"/>
        <v>13</v>
      </c>
      <c r="P607">
        <f t="shared" si="89"/>
        <v>78</v>
      </c>
      <c r="Q607" t="str">
        <f t="shared" si="90"/>
        <v xml:space="preserve"> </v>
      </c>
    </row>
    <row r="608" spans="1:17" x14ac:dyDescent="0.25">
      <c r="A608">
        <v>0</v>
      </c>
      <c r="E608">
        <v>608</v>
      </c>
      <c r="G608" t="str">
        <f t="shared" si="86"/>
        <v>6</v>
      </c>
      <c r="H608" t="str">
        <f t="shared" si="87"/>
        <v>0</v>
      </c>
      <c r="I608" t="str">
        <f t="shared" si="88"/>
        <v>8</v>
      </c>
      <c r="K608" t="str">
        <f t="shared" si="91"/>
        <v>6</v>
      </c>
      <c r="L608" t="str">
        <f t="shared" si="92"/>
        <v>0</v>
      </c>
      <c r="M608" t="str">
        <f t="shared" si="93"/>
        <v>8</v>
      </c>
      <c r="O608" s="69">
        <f t="shared" si="85"/>
        <v>14</v>
      </c>
      <c r="P608">
        <f t="shared" si="89"/>
        <v>84</v>
      </c>
      <c r="Q608" t="str">
        <f t="shared" si="90"/>
        <v xml:space="preserve"> </v>
      </c>
    </row>
    <row r="609" spans="1:17" x14ac:dyDescent="0.25">
      <c r="A609">
        <v>0</v>
      </c>
      <c r="E609">
        <v>609</v>
      </c>
      <c r="G609" t="str">
        <f t="shared" si="86"/>
        <v>6</v>
      </c>
      <c r="H609" t="str">
        <f t="shared" si="87"/>
        <v>0</v>
      </c>
      <c r="I609" t="str">
        <f t="shared" si="88"/>
        <v>9</v>
      </c>
      <c r="K609" t="str">
        <f t="shared" si="91"/>
        <v>6</v>
      </c>
      <c r="L609" t="str">
        <f t="shared" si="92"/>
        <v>0</v>
      </c>
      <c r="M609" t="str">
        <f t="shared" si="93"/>
        <v>9</v>
      </c>
      <c r="O609" s="69">
        <f t="shared" si="85"/>
        <v>15</v>
      </c>
      <c r="P609">
        <f t="shared" si="89"/>
        <v>90</v>
      </c>
      <c r="Q609" t="str">
        <f t="shared" si="90"/>
        <v xml:space="preserve"> </v>
      </c>
    </row>
    <row r="610" spans="1:17" x14ac:dyDescent="0.25">
      <c r="A610">
        <v>0</v>
      </c>
      <c r="E610">
        <v>610</v>
      </c>
      <c r="G610" t="str">
        <f t="shared" si="86"/>
        <v>6</v>
      </c>
      <c r="H610" t="str">
        <f t="shared" si="87"/>
        <v>1</v>
      </c>
      <c r="I610" t="str">
        <f t="shared" si="88"/>
        <v>0</v>
      </c>
      <c r="K610" t="str">
        <f t="shared" si="91"/>
        <v>6</v>
      </c>
      <c r="L610" t="str">
        <f t="shared" si="92"/>
        <v>1</v>
      </c>
      <c r="M610" t="str">
        <f t="shared" si="93"/>
        <v>0</v>
      </c>
      <c r="O610" s="69">
        <f t="shared" si="85"/>
        <v>7</v>
      </c>
      <c r="P610">
        <f t="shared" si="89"/>
        <v>42</v>
      </c>
      <c r="Q610" t="str">
        <f t="shared" si="90"/>
        <v xml:space="preserve"> </v>
      </c>
    </row>
    <row r="611" spans="1:17" x14ac:dyDescent="0.25">
      <c r="A611">
        <v>0</v>
      </c>
      <c r="E611">
        <v>611</v>
      </c>
      <c r="G611" t="str">
        <f t="shared" si="86"/>
        <v>6</v>
      </c>
      <c r="H611" t="str">
        <f t="shared" si="87"/>
        <v>1</v>
      </c>
      <c r="I611" t="str">
        <f t="shared" si="88"/>
        <v>1</v>
      </c>
      <c r="K611" t="str">
        <f t="shared" si="91"/>
        <v>6</v>
      </c>
      <c r="L611" t="str">
        <f t="shared" si="92"/>
        <v>1</v>
      </c>
      <c r="M611" t="str">
        <f t="shared" si="93"/>
        <v>1</v>
      </c>
      <c r="O611" s="69">
        <f t="shared" si="85"/>
        <v>8</v>
      </c>
      <c r="P611">
        <f t="shared" si="89"/>
        <v>48</v>
      </c>
      <c r="Q611" t="str">
        <f t="shared" si="90"/>
        <v xml:space="preserve"> </v>
      </c>
    </row>
    <row r="612" spans="1:17" x14ac:dyDescent="0.25">
      <c r="A612">
        <v>0</v>
      </c>
      <c r="E612">
        <v>612</v>
      </c>
      <c r="G612" t="str">
        <f t="shared" si="86"/>
        <v>6</v>
      </c>
      <c r="H612" t="str">
        <f t="shared" si="87"/>
        <v>1</v>
      </c>
      <c r="I612" t="str">
        <f t="shared" si="88"/>
        <v>2</v>
      </c>
      <c r="K612" t="str">
        <f t="shared" si="91"/>
        <v>6</v>
      </c>
      <c r="L612" t="str">
        <f t="shared" si="92"/>
        <v>1</v>
      </c>
      <c r="M612" t="str">
        <f t="shared" si="93"/>
        <v>2</v>
      </c>
      <c r="O612" s="69">
        <f t="shared" si="85"/>
        <v>9</v>
      </c>
      <c r="P612">
        <f t="shared" si="89"/>
        <v>54</v>
      </c>
      <c r="Q612" t="str">
        <f t="shared" si="90"/>
        <v xml:space="preserve"> </v>
      </c>
    </row>
    <row r="613" spans="1:17" x14ac:dyDescent="0.25">
      <c r="A613">
        <v>0</v>
      </c>
      <c r="E613">
        <v>613</v>
      </c>
      <c r="G613" t="str">
        <f t="shared" si="86"/>
        <v>6</v>
      </c>
      <c r="H613" t="str">
        <f t="shared" si="87"/>
        <v>1</v>
      </c>
      <c r="I613" t="str">
        <f t="shared" si="88"/>
        <v>3</v>
      </c>
      <c r="K613" t="str">
        <f t="shared" si="91"/>
        <v>6</v>
      </c>
      <c r="L613" t="str">
        <f t="shared" si="92"/>
        <v>1</v>
      </c>
      <c r="M613" t="str">
        <f t="shared" si="93"/>
        <v>3</v>
      </c>
      <c r="O613" s="69">
        <f t="shared" ref="O613:O676" si="94">+K613+L613+M613</f>
        <v>10</v>
      </c>
      <c r="P613">
        <f t="shared" si="89"/>
        <v>60</v>
      </c>
      <c r="Q613" t="str">
        <f t="shared" si="90"/>
        <v xml:space="preserve"> </v>
      </c>
    </row>
    <row r="614" spans="1:17" x14ac:dyDescent="0.25">
      <c r="A614">
        <v>0</v>
      </c>
      <c r="E614">
        <v>614</v>
      </c>
      <c r="G614" t="str">
        <f t="shared" si="86"/>
        <v>6</v>
      </c>
      <c r="H614" t="str">
        <f t="shared" si="87"/>
        <v>1</v>
      </c>
      <c r="I614" t="str">
        <f t="shared" si="88"/>
        <v>4</v>
      </c>
      <c r="K614" t="str">
        <f t="shared" si="91"/>
        <v>6</v>
      </c>
      <c r="L614" t="str">
        <f t="shared" si="92"/>
        <v>1</v>
      </c>
      <c r="M614" t="str">
        <f t="shared" si="93"/>
        <v>4</v>
      </c>
      <c r="O614" s="69">
        <f t="shared" si="94"/>
        <v>11</v>
      </c>
      <c r="P614">
        <f t="shared" si="89"/>
        <v>66</v>
      </c>
      <c r="Q614" t="str">
        <f t="shared" si="90"/>
        <v xml:space="preserve"> </v>
      </c>
    </row>
    <row r="615" spans="1:17" x14ac:dyDescent="0.25">
      <c r="A615">
        <v>0</v>
      </c>
      <c r="E615">
        <v>615</v>
      </c>
      <c r="G615" t="str">
        <f t="shared" si="86"/>
        <v>6</v>
      </c>
      <c r="H615" t="str">
        <f t="shared" si="87"/>
        <v>1</v>
      </c>
      <c r="I615" t="str">
        <f t="shared" si="88"/>
        <v>5</v>
      </c>
      <c r="K615" t="str">
        <f t="shared" si="91"/>
        <v>6</v>
      </c>
      <c r="L615" t="str">
        <f t="shared" si="92"/>
        <v>1</v>
      </c>
      <c r="M615" t="str">
        <f t="shared" si="93"/>
        <v>5</v>
      </c>
      <c r="O615" s="69">
        <f t="shared" si="94"/>
        <v>12</v>
      </c>
      <c r="P615">
        <f t="shared" si="89"/>
        <v>72</v>
      </c>
      <c r="Q615" t="str">
        <f t="shared" si="90"/>
        <v xml:space="preserve"> </v>
      </c>
    </row>
    <row r="616" spans="1:17" x14ac:dyDescent="0.25">
      <c r="A616">
        <v>0</v>
      </c>
      <c r="E616">
        <v>616</v>
      </c>
      <c r="G616" t="str">
        <f t="shared" si="86"/>
        <v>6</v>
      </c>
      <c r="H616" t="str">
        <f t="shared" si="87"/>
        <v>1</v>
      </c>
      <c r="I616" t="str">
        <f t="shared" si="88"/>
        <v>6</v>
      </c>
      <c r="K616" t="str">
        <f t="shared" si="91"/>
        <v>6</v>
      </c>
      <c r="L616" t="str">
        <f t="shared" si="92"/>
        <v>1</v>
      </c>
      <c r="M616" t="str">
        <f t="shared" si="93"/>
        <v>6</v>
      </c>
      <c r="O616" s="69">
        <f t="shared" si="94"/>
        <v>13</v>
      </c>
      <c r="P616">
        <f t="shared" si="89"/>
        <v>78</v>
      </c>
      <c r="Q616" t="str">
        <f t="shared" si="90"/>
        <v xml:space="preserve"> </v>
      </c>
    </row>
    <row r="617" spans="1:17" x14ac:dyDescent="0.25">
      <c r="A617">
        <v>0</v>
      </c>
      <c r="E617">
        <v>617</v>
      </c>
      <c r="G617" t="str">
        <f t="shared" si="86"/>
        <v>6</v>
      </c>
      <c r="H617" t="str">
        <f t="shared" si="87"/>
        <v>1</v>
      </c>
      <c r="I617" t="str">
        <f t="shared" si="88"/>
        <v>7</v>
      </c>
      <c r="K617" t="str">
        <f t="shared" si="91"/>
        <v>6</v>
      </c>
      <c r="L617" t="str">
        <f t="shared" si="92"/>
        <v>1</v>
      </c>
      <c r="M617" t="str">
        <f t="shared" si="93"/>
        <v>7</v>
      </c>
      <c r="O617" s="69">
        <f t="shared" si="94"/>
        <v>14</v>
      </c>
      <c r="P617">
        <f t="shared" si="89"/>
        <v>84</v>
      </c>
      <c r="Q617" t="str">
        <f t="shared" si="90"/>
        <v xml:space="preserve"> </v>
      </c>
    </row>
    <row r="618" spans="1:17" x14ac:dyDescent="0.25">
      <c r="A618">
        <v>0</v>
      </c>
      <c r="E618">
        <v>618</v>
      </c>
      <c r="G618" t="str">
        <f t="shared" si="86"/>
        <v>6</v>
      </c>
      <c r="H618" t="str">
        <f t="shared" si="87"/>
        <v>1</v>
      </c>
      <c r="I618" t="str">
        <f t="shared" si="88"/>
        <v>8</v>
      </c>
      <c r="K618" t="str">
        <f t="shared" si="91"/>
        <v>6</v>
      </c>
      <c r="L618" t="str">
        <f t="shared" si="92"/>
        <v>1</v>
      </c>
      <c r="M618" t="str">
        <f t="shared" si="93"/>
        <v>8</v>
      </c>
      <c r="O618" s="69">
        <f t="shared" si="94"/>
        <v>15</v>
      </c>
      <c r="P618">
        <f t="shared" si="89"/>
        <v>90</v>
      </c>
      <c r="Q618" t="str">
        <f t="shared" si="90"/>
        <v xml:space="preserve"> </v>
      </c>
    </row>
    <row r="619" spans="1:17" x14ac:dyDescent="0.25">
      <c r="A619">
        <v>0</v>
      </c>
      <c r="E619">
        <v>619</v>
      </c>
      <c r="G619" t="str">
        <f t="shared" si="86"/>
        <v>6</v>
      </c>
      <c r="H619" t="str">
        <f t="shared" si="87"/>
        <v>1</v>
      </c>
      <c r="I619" t="str">
        <f t="shared" si="88"/>
        <v>9</v>
      </c>
      <c r="K619" t="str">
        <f t="shared" si="91"/>
        <v>6</v>
      </c>
      <c r="L619" t="str">
        <f t="shared" si="92"/>
        <v>1</v>
      </c>
      <c r="M619" t="str">
        <f t="shared" si="93"/>
        <v>9</v>
      </c>
      <c r="O619" s="69">
        <f t="shared" si="94"/>
        <v>16</v>
      </c>
      <c r="P619">
        <f t="shared" si="89"/>
        <v>96</v>
      </c>
      <c r="Q619" t="str">
        <f t="shared" si="90"/>
        <v xml:space="preserve"> </v>
      </c>
    </row>
    <row r="620" spans="1:17" x14ac:dyDescent="0.25">
      <c r="A620">
        <v>0</v>
      </c>
      <c r="E620">
        <v>620</v>
      </c>
      <c r="G620" t="str">
        <f t="shared" si="86"/>
        <v>6</v>
      </c>
      <c r="H620" t="str">
        <f t="shared" si="87"/>
        <v>2</v>
      </c>
      <c r="I620" t="str">
        <f t="shared" si="88"/>
        <v>0</v>
      </c>
      <c r="K620" t="str">
        <f t="shared" si="91"/>
        <v>6</v>
      </c>
      <c r="L620" t="str">
        <f t="shared" si="92"/>
        <v>2</v>
      </c>
      <c r="M620" t="str">
        <f t="shared" si="93"/>
        <v>0</v>
      </c>
      <c r="O620" s="69">
        <f t="shared" si="94"/>
        <v>8</v>
      </c>
      <c r="P620">
        <f t="shared" si="89"/>
        <v>48</v>
      </c>
      <c r="Q620" t="str">
        <f t="shared" si="90"/>
        <v xml:space="preserve"> </v>
      </c>
    </row>
    <row r="621" spans="1:17" x14ac:dyDescent="0.25">
      <c r="A621">
        <v>0</v>
      </c>
      <c r="E621">
        <v>621</v>
      </c>
      <c r="G621" t="str">
        <f t="shared" si="86"/>
        <v>6</v>
      </c>
      <c r="H621" t="str">
        <f t="shared" si="87"/>
        <v>2</v>
      </c>
      <c r="I621" t="str">
        <f t="shared" si="88"/>
        <v>1</v>
      </c>
      <c r="K621" t="str">
        <f t="shared" si="91"/>
        <v>6</v>
      </c>
      <c r="L621" t="str">
        <f t="shared" si="92"/>
        <v>2</v>
      </c>
      <c r="M621" t="str">
        <f t="shared" si="93"/>
        <v>1</v>
      </c>
      <c r="O621" s="69">
        <f t="shared" si="94"/>
        <v>9</v>
      </c>
      <c r="P621">
        <f t="shared" si="89"/>
        <v>54</v>
      </c>
      <c r="Q621" t="str">
        <f t="shared" si="90"/>
        <v xml:space="preserve"> </v>
      </c>
    </row>
    <row r="622" spans="1:17" x14ac:dyDescent="0.25">
      <c r="A622">
        <v>0</v>
      </c>
      <c r="E622">
        <v>622</v>
      </c>
      <c r="G622" t="str">
        <f t="shared" si="86"/>
        <v>6</v>
      </c>
      <c r="H622" t="str">
        <f t="shared" si="87"/>
        <v>2</v>
      </c>
      <c r="I622" t="str">
        <f t="shared" si="88"/>
        <v>2</v>
      </c>
      <c r="K622" t="str">
        <f t="shared" si="91"/>
        <v>6</v>
      </c>
      <c r="L622" t="str">
        <f t="shared" si="92"/>
        <v>2</v>
      </c>
      <c r="M622" t="str">
        <f t="shared" si="93"/>
        <v>2</v>
      </c>
      <c r="O622" s="69">
        <f t="shared" si="94"/>
        <v>10</v>
      </c>
      <c r="P622">
        <f t="shared" si="89"/>
        <v>60</v>
      </c>
      <c r="Q622" t="str">
        <f t="shared" si="90"/>
        <v xml:space="preserve"> </v>
      </c>
    </row>
    <row r="623" spans="1:17" x14ac:dyDescent="0.25">
      <c r="A623">
        <v>0</v>
      </c>
      <c r="E623">
        <v>623</v>
      </c>
      <c r="G623" t="str">
        <f t="shared" si="86"/>
        <v>6</v>
      </c>
      <c r="H623" t="str">
        <f t="shared" si="87"/>
        <v>2</v>
      </c>
      <c r="I623" t="str">
        <f t="shared" si="88"/>
        <v>3</v>
      </c>
      <c r="K623" t="str">
        <f t="shared" si="91"/>
        <v>6</v>
      </c>
      <c r="L623" t="str">
        <f t="shared" si="92"/>
        <v>2</v>
      </c>
      <c r="M623" t="str">
        <f t="shared" si="93"/>
        <v>3</v>
      </c>
      <c r="O623" s="69">
        <f t="shared" si="94"/>
        <v>11</v>
      </c>
      <c r="P623">
        <f t="shared" si="89"/>
        <v>66</v>
      </c>
      <c r="Q623" t="str">
        <f t="shared" si="90"/>
        <v xml:space="preserve"> </v>
      </c>
    </row>
    <row r="624" spans="1:17" x14ac:dyDescent="0.25">
      <c r="A624">
        <v>0</v>
      </c>
      <c r="E624">
        <v>624</v>
      </c>
      <c r="G624" t="str">
        <f t="shared" si="86"/>
        <v>6</v>
      </c>
      <c r="H624" t="str">
        <f t="shared" si="87"/>
        <v>2</v>
      </c>
      <c r="I624" t="str">
        <f t="shared" si="88"/>
        <v>4</v>
      </c>
      <c r="K624" t="str">
        <f t="shared" si="91"/>
        <v>6</v>
      </c>
      <c r="L624" t="str">
        <f t="shared" si="92"/>
        <v>2</v>
      </c>
      <c r="M624" t="str">
        <f t="shared" si="93"/>
        <v>4</v>
      </c>
      <c r="O624" s="69">
        <f t="shared" si="94"/>
        <v>12</v>
      </c>
      <c r="P624">
        <f t="shared" si="89"/>
        <v>72</v>
      </c>
      <c r="Q624" t="str">
        <f t="shared" si="90"/>
        <v xml:space="preserve"> </v>
      </c>
    </row>
    <row r="625" spans="1:17" x14ac:dyDescent="0.25">
      <c r="A625">
        <v>0</v>
      </c>
      <c r="E625">
        <v>625</v>
      </c>
      <c r="G625" t="str">
        <f t="shared" si="86"/>
        <v>6</v>
      </c>
      <c r="H625" t="str">
        <f t="shared" si="87"/>
        <v>2</v>
      </c>
      <c r="I625" t="str">
        <f t="shared" si="88"/>
        <v>5</v>
      </c>
      <c r="K625" t="str">
        <f t="shared" si="91"/>
        <v>6</v>
      </c>
      <c r="L625" t="str">
        <f t="shared" si="92"/>
        <v>2</v>
      </c>
      <c r="M625" t="str">
        <f t="shared" si="93"/>
        <v>5</v>
      </c>
      <c r="O625" s="69">
        <f t="shared" si="94"/>
        <v>13</v>
      </c>
      <c r="P625">
        <f t="shared" si="89"/>
        <v>78</v>
      </c>
      <c r="Q625" t="str">
        <f t="shared" si="90"/>
        <v xml:space="preserve"> </v>
      </c>
    </row>
    <row r="626" spans="1:17" x14ac:dyDescent="0.25">
      <c r="A626">
        <v>0</v>
      </c>
      <c r="E626">
        <v>626</v>
      </c>
      <c r="G626" t="str">
        <f t="shared" si="86"/>
        <v>6</v>
      </c>
      <c r="H626" t="str">
        <f t="shared" si="87"/>
        <v>2</v>
      </c>
      <c r="I626" t="str">
        <f t="shared" si="88"/>
        <v>6</v>
      </c>
      <c r="K626" t="str">
        <f t="shared" si="91"/>
        <v>6</v>
      </c>
      <c r="L626" t="str">
        <f t="shared" si="92"/>
        <v>2</v>
      </c>
      <c r="M626" t="str">
        <f t="shared" si="93"/>
        <v>6</v>
      </c>
      <c r="O626" s="69">
        <f t="shared" si="94"/>
        <v>14</v>
      </c>
      <c r="P626">
        <f t="shared" si="89"/>
        <v>84</v>
      </c>
      <c r="Q626" t="str">
        <f t="shared" si="90"/>
        <v xml:space="preserve"> </v>
      </c>
    </row>
    <row r="627" spans="1:17" x14ac:dyDescent="0.25">
      <c r="A627">
        <v>0</v>
      </c>
      <c r="E627">
        <v>627</v>
      </c>
      <c r="G627" t="str">
        <f t="shared" si="86"/>
        <v>6</v>
      </c>
      <c r="H627" t="str">
        <f t="shared" si="87"/>
        <v>2</v>
      </c>
      <c r="I627" t="str">
        <f t="shared" si="88"/>
        <v>7</v>
      </c>
      <c r="K627" t="str">
        <f t="shared" si="91"/>
        <v>6</v>
      </c>
      <c r="L627" t="str">
        <f t="shared" si="92"/>
        <v>2</v>
      </c>
      <c r="M627" t="str">
        <f t="shared" si="93"/>
        <v>7</v>
      </c>
      <c r="O627" s="69">
        <f t="shared" si="94"/>
        <v>15</v>
      </c>
      <c r="P627">
        <f t="shared" si="89"/>
        <v>90</v>
      </c>
      <c r="Q627" t="str">
        <f t="shared" si="90"/>
        <v xml:space="preserve"> </v>
      </c>
    </row>
    <row r="628" spans="1:17" x14ac:dyDescent="0.25">
      <c r="A628">
        <v>0</v>
      </c>
      <c r="E628">
        <v>628</v>
      </c>
      <c r="G628" t="str">
        <f t="shared" si="86"/>
        <v>6</v>
      </c>
      <c r="H628" t="str">
        <f t="shared" si="87"/>
        <v>2</v>
      </c>
      <c r="I628" t="str">
        <f t="shared" si="88"/>
        <v>8</v>
      </c>
      <c r="K628" t="str">
        <f t="shared" si="91"/>
        <v>6</v>
      </c>
      <c r="L628" t="str">
        <f t="shared" si="92"/>
        <v>2</v>
      </c>
      <c r="M628" t="str">
        <f t="shared" si="93"/>
        <v>8</v>
      </c>
      <c r="O628" s="69">
        <f t="shared" si="94"/>
        <v>16</v>
      </c>
      <c r="P628">
        <f t="shared" si="89"/>
        <v>96</v>
      </c>
      <c r="Q628" t="str">
        <f t="shared" si="90"/>
        <v xml:space="preserve"> </v>
      </c>
    </row>
    <row r="629" spans="1:17" x14ac:dyDescent="0.25">
      <c r="A629">
        <v>0</v>
      </c>
      <c r="E629">
        <v>629</v>
      </c>
      <c r="G629" t="str">
        <f t="shared" si="86"/>
        <v>6</v>
      </c>
      <c r="H629" t="str">
        <f t="shared" si="87"/>
        <v>2</v>
      </c>
      <c r="I629" t="str">
        <f t="shared" si="88"/>
        <v>9</v>
      </c>
      <c r="K629" t="str">
        <f t="shared" si="91"/>
        <v>6</v>
      </c>
      <c r="L629" t="str">
        <f t="shared" si="92"/>
        <v>2</v>
      </c>
      <c r="M629" t="str">
        <f t="shared" si="93"/>
        <v>9</v>
      </c>
      <c r="O629" s="69">
        <f t="shared" si="94"/>
        <v>17</v>
      </c>
      <c r="P629">
        <f t="shared" si="89"/>
        <v>102</v>
      </c>
      <c r="Q629" t="str">
        <f t="shared" si="90"/>
        <v xml:space="preserve"> </v>
      </c>
    </row>
    <row r="630" spans="1:17" x14ac:dyDescent="0.25">
      <c r="A630">
        <v>0</v>
      </c>
      <c r="E630">
        <v>630</v>
      </c>
      <c r="G630" t="str">
        <f t="shared" si="86"/>
        <v>6</v>
      </c>
      <c r="H630" t="str">
        <f t="shared" si="87"/>
        <v>3</v>
      </c>
      <c r="I630" t="str">
        <f t="shared" si="88"/>
        <v>0</v>
      </c>
      <c r="K630" t="str">
        <f t="shared" si="91"/>
        <v>6</v>
      </c>
      <c r="L630" t="str">
        <f t="shared" si="92"/>
        <v>3</v>
      </c>
      <c r="M630" t="str">
        <f t="shared" si="93"/>
        <v>0</v>
      </c>
      <c r="O630" s="69">
        <f t="shared" si="94"/>
        <v>9</v>
      </c>
      <c r="P630">
        <f t="shared" si="89"/>
        <v>54</v>
      </c>
      <c r="Q630" t="str">
        <f t="shared" si="90"/>
        <v xml:space="preserve"> </v>
      </c>
    </row>
    <row r="631" spans="1:17" x14ac:dyDescent="0.25">
      <c r="A631">
        <v>0</v>
      </c>
      <c r="E631">
        <v>631</v>
      </c>
      <c r="G631" t="str">
        <f t="shared" si="86"/>
        <v>6</v>
      </c>
      <c r="H631" t="str">
        <f t="shared" si="87"/>
        <v>3</v>
      </c>
      <c r="I631" t="str">
        <f t="shared" si="88"/>
        <v>1</v>
      </c>
      <c r="K631" t="str">
        <f t="shared" si="91"/>
        <v>6</v>
      </c>
      <c r="L631" t="str">
        <f t="shared" si="92"/>
        <v>3</v>
      </c>
      <c r="M631" t="str">
        <f t="shared" si="93"/>
        <v>1</v>
      </c>
      <c r="O631" s="69">
        <f t="shared" si="94"/>
        <v>10</v>
      </c>
      <c r="P631">
        <f t="shared" si="89"/>
        <v>60</v>
      </c>
      <c r="Q631" t="str">
        <f t="shared" si="90"/>
        <v xml:space="preserve"> </v>
      </c>
    </row>
    <row r="632" spans="1:17" x14ac:dyDescent="0.25">
      <c r="A632">
        <v>0</v>
      </c>
      <c r="E632">
        <v>632</v>
      </c>
      <c r="G632" t="str">
        <f t="shared" si="86"/>
        <v>6</v>
      </c>
      <c r="H632" t="str">
        <f t="shared" si="87"/>
        <v>3</v>
      </c>
      <c r="I632" t="str">
        <f t="shared" si="88"/>
        <v>2</v>
      </c>
      <c r="K632" t="str">
        <f t="shared" si="91"/>
        <v>6</v>
      </c>
      <c r="L632" t="str">
        <f t="shared" si="92"/>
        <v>3</v>
      </c>
      <c r="M632" t="str">
        <f t="shared" si="93"/>
        <v>2</v>
      </c>
      <c r="O632" s="69">
        <f t="shared" si="94"/>
        <v>11</v>
      </c>
      <c r="P632">
        <f t="shared" si="89"/>
        <v>66</v>
      </c>
      <c r="Q632" t="str">
        <f t="shared" si="90"/>
        <v xml:space="preserve"> </v>
      </c>
    </row>
    <row r="633" spans="1:17" x14ac:dyDescent="0.25">
      <c r="A633">
        <v>0</v>
      </c>
      <c r="E633">
        <v>633</v>
      </c>
      <c r="G633" t="str">
        <f t="shared" si="86"/>
        <v>6</v>
      </c>
      <c r="H633" t="str">
        <f t="shared" si="87"/>
        <v>3</v>
      </c>
      <c r="I633" t="str">
        <f t="shared" si="88"/>
        <v>3</v>
      </c>
      <c r="K633" t="str">
        <f t="shared" si="91"/>
        <v>6</v>
      </c>
      <c r="L633" t="str">
        <f t="shared" si="92"/>
        <v>3</v>
      </c>
      <c r="M633" t="str">
        <f t="shared" si="93"/>
        <v>3</v>
      </c>
      <c r="O633" s="69">
        <f t="shared" si="94"/>
        <v>12</v>
      </c>
      <c r="P633">
        <f t="shared" si="89"/>
        <v>72</v>
      </c>
      <c r="Q633" t="str">
        <f t="shared" si="90"/>
        <v xml:space="preserve"> </v>
      </c>
    </row>
    <row r="634" spans="1:17" x14ac:dyDescent="0.25">
      <c r="A634">
        <v>0</v>
      </c>
      <c r="E634">
        <v>634</v>
      </c>
      <c r="G634" t="str">
        <f t="shared" si="86"/>
        <v>6</v>
      </c>
      <c r="H634" t="str">
        <f t="shared" si="87"/>
        <v>3</v>
      </c>
      <c r="I634" t="str">
        <f t="shared" si="88"/>
        <v>4</v>
      </c>
      <c r="K634" t="str">
        <f t="shared" si="91"/>
        <v>6</v>
      </c>
      <c r="L634" t="str">
        <f t="shared" si="92"/>
        <v>3</v>
      </c>
      <c r="M634" t="str">
        <f t="shared" si="93"/>
        <v>4</v>
      </c>
      <c r="O634" s="69">
        <f t="shared" si="94"/>
        <v>13</v>
      </c>
      <c r="P634">
        <f t="shared" si="89"/>
        <v>78</v>
      </c>
      <c r="Q634" t="str">
        <f t="shared" si="90"/>
        <v xml:space="preserve"> </v>
      </c>
    </row>
    <row r="635" spans="1:17" x14ac:dyDescent="0.25">
      <c r="A635">
        <v>0</v>
      </c>
      <c r="E635">
        <v>635</v>
      </c>
      <c r="G635" t="str">
        <f t="shared" si="86"/>
        <v>6</v>
      </c>
      <c r="H635" t="str">
        <f t="shared" si="87"/>
        <v>3</v>
      </c>
      <c r="I635" t="str">
        <f t="shared" si="88"/>
        <v>5</v>
      </c>
      <c r="K635" t="str">
        <f t="shared" si="91"/>
        <v>6</v>
      </c>
      <c r="L635" t="str">
        <f t="shared" si="92"/>
        <v>3</v>
      </c>
      <c r="M635" t="str">
        <f t="shared" si="93"/>
        <v>5</v>
      </c>
      <c r="O635" s="69">
        <f t="shared" si="94"/>
        <v>14</v>
      </c>
      <c r="P635">
        <f t="shared" si="89"/>
        <v>84</v>
      </c>
      <c r="Q635" t="str">
        <f t="shared" si="90"/>
        <v xml:space="preserve"> </v>
      </c>
    </row>
    <row r="636" spans="1:17" x14ac:dyDescent="0.25">
      <c r="A636">
        <v>0</v>
      </c>
      <c r="E636">
        <v>636</v>
      </c>
      <c r="G636" t="str">
        <f t="shared" si="86"/>
        <v>6</v>
      </c>
      <c r="H636" t="str">
        <f t="shared" si="87"/>
        <v>3</v>
      </c>
      <c r="I636" t="str">
        <f t="shared" si="88"/>
        <v>6</v>
      </c>
      <c r="K636" t="str">
        <f t="shared" si="91"/>
        <v>6</v>
      </c>
      <c r="L636" t="str">
        <f t="shared" si="92"/>
        <v>3</v>
      </c>
      <c r="M636" t="str">
        <f t="shared" si="93"/>
        <v>6</v>
      </c>
      <c r="O636" s="69">
        <f t="shared" si="94"/>
        <v>15</v>
      </c>
      <c r="P636">
        <f t="shared" si="89"/>
        <v>90</v>
      </c>
      <c r="Q636" t="str">
        <f t="shared" si="90"/>
        <v xml:space="preserve"> </v>
      </c>
    </row>
    <row r="637" spans="1:17" x14ac:dyDescent="0.25">
      <c r="A637">
        <v>0</v>
      </c>
      <c r="E637">
        <v>637</v>
      </c>
      <c r="G637" t="str">
        <f t="shared" si="86"/>
        <v>6</v>
      </c>
      <c r="H637" t="str">
        <f t="shared" si="87"/>
        <v>3</v>
      </c>
      <c r="I637" t="str">
        <f t="shared" si="88"/>
        <v>7</v>
      </c>
      <c r="K637" t="str">
        <f t="shared" si="91"/>
        <v>6</v>
      </c>
      <c r="L637" t="str">
        <f t="shared" si="92"/>
        <v>3</v>
      </c>
      <c r="M637" t="str">
        <f t="shared" si="93"/>
        <v>7</v>
      </c>
      <c r="O637" s="69">
        <f t="shared" si="94"/>
        <v>16</v>
      </c>
      <c r="P637">
        <f t="shared" si="89"/>
        <v>96</v>
      </c>
      <c r="Q637" t="str">
        <f t="shared" si="90"/>
        <v xml:space="preserve"> </v>
      </c>
    </row>
    <row r="638" spans="1:17" x14ac:dyDescent="0.25">
      <c r="A638">
        <v>0</v>
      </c>
      <c r="E638">
        <v>638</v>
      </c>
      <c r="G638" t="str">
        <f t="shared" si="86"/>
        <v>6</v>
      </c>
      <c r="H638" t="str">
        <f t="shared" si="87"/>
        <v>3</v>
      </c>
      <c r="I638" t="str">
        <f t="shared" si="88"/>
        <v>8</v>
      </c>
      <c r="K638" t="str">
        <f t="shared" si="91"/>
        <v>6</v>
      </c>
      <c r="L638" t="str">
        <f t="shared" si="92"/>
        <v>3</v>
      </c>
      <c r="M638" t="str">
        <f t="shared" si="93"/>
        <v>8</v>
      </c>
      <c r="O638" s="69">
        <f t="shared" si="94"/>
        <v>17</v>
      </c>
      <c r="P638">
        <f t="shared" si="89"/>
        <v>102</v>
      </c>
      <c r="Q638" t="str">
        <f t="shared" si="90"/>
        <v xml:space="preserve"> </v>
      </c>
    </row>
    <row r="639" spans="1:17" x14ac:dyDescent="0.25">
      <c r="A639">
        <v>0</v>
      </c>
      <c r="E639">
        <v>639</v>
      </c>
      <c r="G639" t="str">
        <f t="shared" si="86"/>
        <v>6</v>
      </c>
      <c r="H639" t="str">
        <f t="shared" si="87"/>
        <v>3</v>
      </c>
      <c r="I639" t="str">
        <f t="shared" si="88"/>
        <v>9</v>
      </c>
      <c r="K639" t="str">
        <f t="shared" si="91"/>
        <v>6</v>
      </c>
      <c r="L639" t="str">
        <f t="shared" si="92"/>
        <v>3</v>
      </c>
      <c r="M639" t="str">
        <f t="shared" si="93"/>
        <v>9</v>
      </c>
      <c r="O639" s="69">
        <f t="shared" si="94"/>
        <v>18</v>
      </c>
      <c r="P639">
        <f t="shared" si="89"/>
        <v>108</v>
      </c>
      <c r="Q639" t="str">
        <f t="shared" si="90"/>
        <v xml:space="preserve"> </v>
      </c>
    </row>
    <row r="640" spans="1:17" x14ac:dyDescent="0.25">
      <c r="A640">
        <v>0</v>
      </c>
      <c r="E640">
        <v>640</v>
      </c>
      <c r="G640" t="str">
        <f t="shared" si="86"/>
        <v>6</v>
      </c>
      <c r="H640" t="str">
        <f t="shared" si="87"/>
        <v>4</v>
      </c>
      <c r="I640" t="str">
        <f t="shared" si="88"/>
        <v>0</v>
      </c>
      <c r="K640" t="str">
        <f t="shared" si="91"/>
        <v>6</v>
      </c>
      <c r="L640" t="str">
        <f t="shared" si="92"/>
        <v>4</v>
      </c>
      <c r="M640" t="str">
        <f t="shared" si="93"/>
        <v>0</v>
      </c>
      <c r="O640" s="69">
        <f t="shared" si="94"/>
        <v>10</v>
      </c>
      <c r="P640">
        <f t="shared" si="89"/>
        <v>60</v>
      </c>
      <c r="Q640" t="str">
        <f t="shared" si="90"/>
        <v xml:space="preserve"> </v>
      </c>
    </row>
    <row r="641" spans="1:17" x14ac:dyDescent="0.25">
      <c r="A641">
        <v>0</v>
      </c>
      <c r="E641">
        <v>641</v>
      </c>
      <c r="G641" t="str">
        <f t="shared" si="86"/>
        <v>6</v>
      </c>
      <c r="H641" t="str">
        <f t="shared" si="87"/>
        <v>4</v>
      </c>
      <c r="I641" t="str">
        <f t="shared" si="88"/>
        <v>1</v>
      </c>
      <c r="K641" t="str">
        <f t="shared" si="91"/>
        <v>6</v>
      </c>
      <c r="L641" t="str">
        <f t="shared" si="92"/>
        <v>4</v>
      </c>
      <c r="M641" t="str">
        <f t="shared" si="93"/>
        <v>1</v>
      </c>
      <c r="O641" s="69">
        <f t="shared" si="94"/>
        <v>11</v>
      </c>
      <c r="P641">
        <f t="shared" si="89"/>
        <v>66</v>
      </c>
      <c r="Q641" t="str">
        <f t="shared" si="90"/>
        <v xml:space="preserve"> </v>
      </c>
    </row>
    <row r="642" spans="1:17" x14ac:dyDescent="0.25">
      <c r="A642">
        <v>0</v>
      </c>
      <c r="E642">
        <v>642</v>
      </c>
      <c r="G642" t="str">
        <f t="shared" ref="G642:G705" si="95">+MID(E642,1,1)</f>
        <v>6</v>
      </c>
      <c r="H642" t="str">
        <f t="shared" ref="H642:H705" si="96">+MID(E642,2,1)</f>
        <v>4</v>
      </c>
      <c r="I642" t="str">
        <f t="shared" ref="I642:I705" si="97">+MID(E642,3,1)</f>
        <v>2</v>
      </c>
      <c r="K642" t="str">
        <f t="shared" si="91"/>
        <v>6</v>
      </c>
      <c r="L642" t="str">
        <f t="shared" si="92"/>
        <v>4</v>
      </c>
      <c r="M642" t="str">
        <f t="shared" si="93"/>
        <v>2</v>
      </c>
      <c r="O642" s="69">
        <f t="shared" si="94"/>
        <v>12</v>
      </c>
      <c r="P642">
        <f t="shared" ref="P642:P705" si="98">+O642*6</f>
        <v>72</v>
      </c>
      <c r="Q642" t="str">
        <f t="shared" ref="Q642:Q705" si="99">+IF(P642=E642,"OK"," ")</f>
        <v xml:space="preserve"> </v>
      </c>
    </row>
    <row r="643" spans="1:17" x14ac:dyDescent="0.25">
      <c r="A643">
        <v>0</v>
      </c>
      <c r="E643">
        <v>643</v>
      </c>
      <c r="G643" t="str">
        <f t="shared" si="95"/>
        <v>6</v>
      </c>
      <c r="H643" t="str">
        <f t="shared" si="96"/>
        <v>4</v>
      </c>
      <c r="I643" t="str">
        <f t="shared" si="97"/>
        <v>3</v>
      </c>
      <c r="K643" t="str">
        <f t="shared" si="91"/>
        <v>6</v>
      </c>
      <c r="L643" t="str">
        <f t="shared" si="92"/>
        <v>4</v>
      </c>
      <c r="M643" t="str">
        <f t="shared" si="93"/>
        <v>3</v>
      </c>
      <c r="O643" s="69">
        <f t="shared" si="94"/>
        <v>13</v>
      </c>
      <c r="P643">
        <f t="shared" si="98"/>
        <v>78</v>
      </c>
      <c r="Q643" t="str">
        <f t="shared" si="99"/>
        <v xml:space="preserve"> </v>
      </c>
    </row>
    <row r="644" spans="1:17" x14ac:dyDescent="0.25">
      <c r="A644">
        <v>0</v>
      </c>
      <c r="E644">
        <v>644</v>
      </c>
      <c r="G644" t="str">
        <f t="shared" si="95"/>
        <v>6</v>
      </c>
      <c r="H644" t="str">
        <f t="shared" si="96"/>
        <v>4</v>
      </c>
      <c r="I644" t="str">
        <f t="shared" si="97"/>
        <v>4</v>
      </c>
      <c r="K644" t="str">
        <f t="shared" si="91"/>
        <v>6</v>
      </c>
      <c r="L644" t="str">
        <f t="shared" si="92"/>
        <v>4</v>
      </c>
      <c r="M644" t="str">
        <f t="shared" si="93"/>
        <v>4</v>
      </c>
      <c r="O644" s="69">
        <f t="shared" si="94"/>
        <v>14</v>
      </c>
      <c r="P644">
        <f t="shared" si="98"/>
        <v>84</v>
      </c>
      <c r="Q644" t="str">
        <f t="shared" si="99"/>
        <v xml:space="preserve"> </v>
      </c>
    </row>
    <row r="645" spans="1:17" x14ac:dyDescent="0.25">
      <c r="A645">
        <v>0</v>
      </c>
      <c r="E645">
        <v>645</v>
      </c>
      <c r="G645" t="str">
        <f t="shared" si="95"/>
        <v>6</v>
      </c>
      <c r="H645" t="str">
        <f t="shared" si="96"/>
        <v>4</v>
      </c>
      <c r="I645" t="str">
        <f t="shared" si="97"/>
        <v>5</v>
      </c>
      <c r="K645" t="str">
        <f t="shared" si="91"/>
        <v>6</v>
      </c>
      <c r="L645" t="str">
        <f t="shared" si="92"/>
        <v>4</v>
      </c>
      <c r="M645" t="str">
        <f t="shared" si="93"/>
        <v>5</v>
      </c>
      <c r="O645" s="69">
        <f t="shared" si="94"/>
        <v>15</v>
      </c>
      <c r="P645">
        <f t="shared" si="98"/>
        <v>90</v>
      </c>
      <c r="Q645" t="str">
        <f t="shared" si="99"/>
        <v xml:space="preserve"> </v>
      </c>
    </row>
    <row r="646" spans="1:17" x14ac:dyDescent="0.25">
      <c r="A646">
        <v>0</v>
      </c>
      <c r="E646">
        <v>646</v>
      </c>
      <c r="G646" t="str">
        <f t="shared" si="95"/>
        <v>6</v>
      </c>
      <c r="H646" t="str">
        <f t="shared" si="96"/>
        <v>4</v>
      </c>
      <c r="I646" t="str">
        <f t="shared" si="97"/>
        <v>6</v>
      </c>
      <c r="K646" t="str">
        <f t="shared" si="91"/>
        <v>6</v>
      </c>
      <c r="L646" t="str">
        <f t="shared" si="92"/>
        <v>4</v>
      </c>
      <c r="M646" t="str">
        <f t="shared" si="93"/>
        <v>6</v>
      </c>
      <c r="O646" s="69">
        <f t="shared" si="94"/>
        <v>16</v>
      </c>
      <c r="P646">
        <f t="shared" si="98"/>
        <v>96</v>
      </c>
      <c r="Q646" t="str">
        <f t="shared" si="99"/>
        <v xml:space="preserve"> </v>
      </c>
    </row>
    <row r="647" spans="1:17" x14ac:dyDescent="0.25">
      <c r="A647">
        <v>0</v>
      </c>
      <c r="E647">
        <v>647</v>
      </c>
      <c r="G647" t="str">
        <f t="shared" si="95"/>
        <v>6</v>
      </c>
      <c r="H647" t="str">
        <f t="shared" si="96"/>
        <v>4</v>
      </c>
      <c r="I647" t="str">
        <f t="shared" si="97"/>
        <v>7</v>
      </c>
      <c r="K647" t="str">
        <f t="shared" si="91"/>
        <v>6</v>
      </c>
      <c r="L647" t="str">
        <f t="shared" si="92"/>
        <v>4</v>
      </c>
      <c r="M647" t="str">
        <f t="shared" si="93"/>
        <v>7</v>
      </c>
      <c r="O647" s="69">
        <f t="shared" si="94"/>
        <v>17</v>
      </c>
      <c r="P647">
        <f t="shared" si="98"/>
        <v>102</v>
      </c>
      <c r="Q647" t="str">
        <f t="shared" si="99"/>
        <v xml:space="preserve"> </v>
      </c>
    </row>
    <row r="648" spans="1:17" x14ac:dyDescent="0.25">
      <c r="A648">
        <v>0</v>
      </c>
      <c r="E648">
        <v>648</v>
      </c>
      <c r="G648" t="str">
        <f t="shared" si="95"/>
        <v>6</v>
      </c>
      <c r="H648" t="str">
        <f t="shared" si="96"/>
        <v>4</v>
      </c>
      <c r="I648" t="str">
        <f t="shared" si="97"/>
        <v>8</v>
      </c>
      <c r="K648" t="str">
        <f t="shared" si="91"/>
        <v>6</v>
      </c>
      <c r="L648" t="str">
        <f t="shared" si="92"/>
        <v>4</v>
      </c>
      <c r="M648" t="str">
        <f t="shared" si="93"/>
        <v>8</v>
      </c>
      <c r="O648" s="69">
        <f t="shared" si="94"/>
        <v>18</v>
      </c>
      <c r="P648">
        <f t="shared" si="98"/>
        <v>108</v>
      </c>
      <c r="Q648" t="str">
        <f t="shared" si="99"/>
        <v xml:space="preserve"> </v>
      </c>
    </row>
    <row r="649" spans="1:17" x14ac:dyDescent="0.25">
      <c r="A649">
        <v>0</v>
      </c>
      <c r="E649">
        <v>649</v>
      </c>
      <c r="G649" t="str">
        <f t="shared" si="95"/>
        <v>6</v>
      </c>
      <c r="H649" t="str">
        <f t="shared" si="96"/>
        <v>4</v>
      </c>
      <c r="I649" t="str">
        <f t="shared" si="97"/>
        <v>9</v>
      </c>
      <c r="K649" t="str">
        <f t="shared" si="91"/>
        <v>6</v>
      </c>
      <c r="L649" t="str">
        <f t="shared" si="92"/>
        <v>4</v>
      </c>
      <c r="M649" t="str">
        <f t="shared" si="93"/>
        <v>9</v>
      </c>
      <c r="O649" s="69">
        <f t="shared" si="94"/>
        <v>19</v>
      </c>
      <c r="P649">
        <f t="shared" si="98"/>
        <v>114</v>
      </c>
      <c r="Q649" t="str">
        <f t="shared" si="99"/>
        <v xml:space="preserve"> </v>
      </c>
    </row>
    <row r="650" spans="1:17" x14ac:dyDescent="0.25">
      <c r="A650">
        <v>0</v>
      </c>
      <c r="E650">
        <v>650</v>
      </c>
      <c r="G650" t="str">
        <f t="shared" si="95"/>
        <v>6</v>
      </c>
      <c r="H650" t="str">
        <f t="shared" si="96"/>
        <v>5</v>
      </c>
      <c r="I650" t="str">
        <f t="shared" si="97"/>
        <v>0</v>
      </c>
      <c r="K650" t="str">
        <f t="shared" si="91"/>
        <v>6</v>
      </c>
      <c r="L650" t="str">
        <f t="shared" si="92"/>
        <v>5</v>
      </c>
      <c r="M650" t="str">
        <f t="shared" si="93"/>
        <v>0</v>
      </c>
      <c r="O650" s="69">
        <f t="shared" si="94"/>
        <v>11</v>
      </c>
      <c r="P650">
        <f t="shared" si="98"/>
        <v>66</v>
      </c>
      <c r="Q650" t="str">
        <f t="shared" si="99"/>
        <v xml:space="preserve"> </v>
      </c>
    </row>
    <row r="651" spans="1:17" x14ac:dyDescent="0.25">
      <c r="A651">
        <v>0</v>
      </c>
      <c r="E651">
        <v>651</v>
      </c>
      <c r="G651" t="str">
        <f t="shared" si="95"/>
        <v>6</v>
      </c>
      <c r="H651" t="str">
        <f t="shared" si="96"/>
        <v>5</v>
      </c>
      <c r="I651" t="str">
        <f t="shared" si="97"/>
        <v>1</v>
      </c>
      <c r="K651" t="str">
        <f t="shared" si="91"/>
        <v>6</v>
      </c>
      <c r="L651" t="str">
        <f t="shared" si="92"/>
        <v>5</v>
      </c>
      <c r="M651" t="str">
        <f t="shared" si="93"/>
        <v>1</v>
      </c>
      <c r="O651" s="69">
        <f t="shared" si="94"/>
        <v>12</v>
      </c>
      <c r="P651">
        <f t="shared" si="98"/>
        <v>72</v>
      </c>
      <c r="Q651" t="str">
        <f t="shared" si="99"/>
        <v xml:space="preserve"> </v>
      </c>
    </row>
    <row r="652" spans="1:17" x14ac:dyDescent="0.25">
      <c r="A652">
        <v>0</v>
      </c>
      <c r="E652">
        <v>652</v>
      </c>
      <c r="G652" t="str">
        <f t="shared" si="95"/>
        <v>6</v>
      </c>
      <c r="H652" t="str">
        <f t="shared" si="96"/>
        <v>5</v>
      </c>
      <c r="I652" t="str">
        <f t="shared" si="97"/>
        <v>2</v>
      </c>
      <c r="K652" t="str">
        <f t="shared" si="91"/>
        <v>6</v>
      </c>
      <c r="L652" t="str">
        <f t="shared" si="92"/>
        <v>5</v>
      </c>
      <c r="M652" t="str">
        <f t="shared" si="93"/>
        <v>2</v>
      </c>
      <c r="O652" s="69">
        <f t="shared" si="94"/>
        <v>13</v>
      </c>
      <c r="P652">
        <f t="shared" si="98"/>
        <v>78</v>
      </c>
      <c r="Q652" t="str">
        <f t="shared" si="99"/>
        <v xml:space="preserve"> </v>
      </c>
    </row>
    <row r="653" spans="1:17" x14ac:dyDescent="0.25">
      <c r="A653">
        <v>0</v>
      </c>
      <c r="E653">
        <v>653</v>
      </c>
      <c r="G653" t="str">
        <f t="shared" si="95"/>
        <v>6</v>
      </c>
      <c r="H653" t="str">
        <f t="shared" si="96"/>
        <v>5</v>
      </c>
      <c r="I653" t="str">
        <f t="shared" si="97"/>
        <v>3</v>
      </c>
      <c r="K653" t="str">
        <f t="shared" si="91"/>
        <v>6</v>
      </c>
      <c r="L653" t="str">
        <f t="shared" si="92"/>
        <v>5</v>
      </c>
      <c r="M653" t="str">
        <f t="shared" si="93"/>
        <v>3</v>
      </c>
      <c r="O653" s="69">
        <f t="shared" si="94"/>
        <v>14</v>
      </c>
      <c r="P653">
        <f t="shared" si="98"/>
        <v>84</v>
      </c>
      <c r="Q653" t="str">
        <f t="shared" si="99"/>
        <v xml:space="preserve"> </v>
      </c>
    </row>
    <row r="654" spans="1:17" x14ac:dyDescent="0.25">
      <c r="A654">
        <v>0</v>
      </c>
      <c r="E654">
        <v>654</v>
      </c>
      <c r="G654" t="str">
        <f t="shared" si="95"/>
        <v>6</v>
      </c>
      <c r="H654" t="str">
        <f t="shared" si="96"/>
        <v>5</v>
      </c>
      <c r="I654" t="str">
        <f t="shared" si="97"/>
        <v>4</v>
      </c>
      <c r="K654" t="str">
        <f t="shared" si="91"/>
        <v>6</v>
      </c>
      <c r="L654" t="str">
        <f t="shared" si="92"/>
        <v>5</v>
      </c>
      <c r="M654" t="str">
        <f t="shared" si="93"/>
        <v>4</v>
      </c>
      <c r="O654" s="69">
        <f t="shared" si="94"/>
        <v>15</v>
      </c>
      <c r="P654">
        <f t="shared" si="98"/>
        <v>90</v>
      </c>
      <c r="Q654" t="str">
        <f t="shared" si="99"/>
        <v xml:space="preserve"> </v>
      </c>
    </row>
    <row r="655" spans="1:17" x14ac:dyDescent="0.25">
      <c r="A655">
        <v>0</v>
      </c>
      <c r="E655">
        <v>655</v>
      </c>
      <c r="G655" t="str">
        <f t="shared" si="95"/>
        <v>6</v>
      </c>
      <c r="H655" t="str">
        <f t="shared" si="96"/>
        <v>5</v>
      </c>
      <c r="I655" t="str">
        <f t="shared" si="97"/>
        <v>5</v>
      </c>
      <c r="K655" t="str">
        <f t="shared" si="91"/>
        <v>6</v>
      </c>
      <c r="L655" t="str">
        <f t="shared" si="92"/>
        <v>5</v>
      </c>
      <c r="M655" t="str">
        <f t="shared" si="93"/>
        <v>5</v>
      </c>
      <c r="O655" s="69">
        <f t="shared" si="94"/>
        <v>16</v>
      </c>
      <c r="P655">
        <f t="shared" si="98"/>
        <v>96</v>
      </c>
      <c r="Q655" t="str">
        <f t="shared" si="99"/>
        <v xml:space="preserve"> </v>
      </c>
    </row>
    <row r="656" spans="1:17" x14ac:dyDescent="0.25">
      <c r="A656">
        <v>0</v>
      </c>
      <c r="E656">
        <v>656</v>
      </c>
      <c r="G656" t="str">
        <f t="shared" si="95"/>
        <v>6</v>
      </c>
      <c r="H656" t="str">
        <f t="shared" si="96"/>
        <v>5</v>
      </c>
      <c r="I656" t="str">
        <f t="shared" si="97"/>
        <v>6</v>
      </c>
      <c r="K656" t="str">
        <f t="shared" si="91"/>
        <v>6</v>
      </c>
      <c r="L656" t="str">
        <f t="shared" si="92"/>
        <v>5</v>
      </c>
      <c r="M656" t="str">
        <f t="shared" si="93"/>
        <v>6</v>
      </c>
      <c r="O656" s="69">
        <f t="shared" si="94"/>
        <v>17</v>
      </c>
      <c r="P656">
        <f t="shared" si="98"/>
        <v>102</v>
      </c>
      <c r="Q656" t="str">
        <f t="shared" si="99"/>
        <v xml:space="preserve"> </v>
      </c>
    </row>
    <row r="657" spans="1:17" x14ac:dyDescent="0.25">
      <c r="A657">
        <v>0</v>
      </c>
      <c r="E657">
        <v>657</v>
      </c>
      <c r="G657" t="str">
        <f t="shared" si="95"/>
        <v>6</v>
      </c>
      <c r="H657" t="str">
        <f t="shared" si="96"/>
        <v>5</v>
      </c>
      <c r="I657" t="str">
        <f t="shared" si="97"/>
        <v>7</v>
      </c>
      <c r="K657" t="str">
        <f t="shared" si="91"/>
        <v>6</v>
      </c>
      <c r="L657" t="str">
        <f t="shared" si="92"/>
        <v>5</v>
      </c>
      <c r="M657" t="str">
        <f t="shared" si="93"/>
        <v>7</v>
      </c>
      <c r="O657" s="69">
        <f t="shared" si="94"/>
        <v>18</v>
      </c>
      <c r="P657">
        <f t="shared" si="98"/>
        <v>108</v>
      </c>
      <c r="Q657" t="str">
        <f t="shared" si="99"/>
        <v xml:space="preserve"> </v>
      </c>
    </row>
    <row r="658" spans="1:17" x14ac:dyDescent="0.25">
      <c r="A658">
        <v>0</v>
      </c>
      <c r="E658">
        <v>658</v>
      </c>
      <c r="G658" t="str">
        <f t="shared" si="95"/>
        <v>6</v>
      </c>
      <c r="H658" t="str">
        <f t="shared" si="96"/>
        <v>5</v>
      </c>
      <c r="I658" t="str">
        <f t="shared" si="97"/>
        <v>8</v>
      </c>
      <c r="K658" t="str">
        <f t="shared" ref="K658:K721" si="100">+G658</f>
        <v>6</v>
      </c>
      <c r="L658" t="str">
        <f t="shared" ref="L658:L721" si="101">+H658</f>
        <v>5</v>
      </c>
      <c r="M658" t="str">
        <f t="shared" ref="M658:M721" si="102">+I658</f>
        <v>8</v>
      </c>
      <c r="O658" s="69">
        <f t="shared" si="94"/>
        <v>19</v>
      </c>
      <c r="P658">
        <f t="shared" si="98"/>
        <v>114</v>
      </c>
      <c r="Q658" t="str">
        <f t="shared" si="99"/>
        <v xml:space="preserve"> </v>
      </c>
    </row>
    <row r="659" spans="1:17" x14ac:dyDescent="0.25">
      <c r="A659">
        <v>0</v>
      </c>
      <c r="E659">
        <v>659</v>
      </c>
      <c r="G659" t="str">
        <f t="shared" si="95"/>
        <v>6</v>
      </c>
      <c r="H659" t="str">
        <f t="shared" si="96"/>
        <v>5</v>
      </c>
      <c r="I659" t="str">
        <f t="shared" si="97"/>
        <v>9</v>
      </c>
      <c r="K659" t="str">
        <f t="shared" si="100"/>
        <v>6</v>
      </c>
      <c r="L659" t="str">
        <f t="shared" si="101"/>
        <v>5</v>
      </c>
      <c r="M659" t="str">
        <f t="shared" si="102"/>
        <v>9</v>
      </c>
      <c r="O659" s="69">
        <f t="shared" si="94"/>
        <v>20</v>
      </c>
      <c r="P659">
        <f t="shared" si="98"/>
        <v>120</v>
      </c>
      <c r="Q659" t="str">
        <f t="shared" si="99"/>
        <v xml:space="preserve"> </v>
      </c>
    </row>
    <row r="660" spans="1:17" x14ac:dyDescent="0.25">
      <c r="A660">
        <v>0</v>
      </c>
      <c r="E660">
        <v>660</v>
      </c>
      <c r="G660" t="str">
        <f t="shared" si="95"/>
        <v>6</v>
      </c>
      <c r="H660" t="str">
        <f t="shared" si="96"/>
        <v>6</v>
      </c>
      <c r="I660" t="str">
        <f t="shared" si="97"/>
        <v>0</v>
      </c>
      <c r="K660" t="str">
        <f t="shared" si="100"/>
        <v>6</v>
      </c>
      <c r="L660" t="str">
        <f t="shared" si="101"/>
        <v>6</v>
      </c>
      <c r="M660" t="str">
        <f t="shared" si="102"/>
        <v>0</v>
      </c>
      <c r="O660" s="69">
        <f t="shared" si="94"/>
        <v>12</v>
      </c>
      <c r="P660">
        <f t="shared" si="98"/>
        <v>72</v>
      </c>
      <c r="Q660" t="str">
        <f t="shared" si="99"/>
        <v xml:space="preserve"> </v>
      </c>
    </row>
    <row r="661" spans="1:17" x14ac:dyDescent="0.25">
      <c r="A661">
        <v>0</v>
      </c>
      <c r="E661">
        <v>661</v>
      </c>
      <c r="G661" t="str">
        <f t="shared" si="95"/>
        <v>6</v>
      </c>
      <c r="H661" t="str">
        <f t="shared" si="96"/>
        <v>6</v>
      </c>
      <c r="I661" t="str">
        <f t="shared" si="97"/>
        <v>1</v>
      </c>
      <c r="K661" t="str">
        <f t="shared" si="100"/>
        <v>6</v>
      </c>
      <c r="L661" t="str">
        <f t="shared" si="101"/>
        <v>6</v>
      </c>
      <c r="M661" t="str">
        <f t="shared" si="102"/>
        <v>1</v>
      </c>
      <c r="O661" s="69">
        <f t="shared" si="94"/>
        <v>13</v>
      </c>
      <c r="P661">
        <f t="shared" si="98"/>
        <v>78</v>
      </c>
      <c r="Q661" t="str">
        <f t="shared" si="99"/>
        <v xml:space="preserve"> </v>
      </c>
    </row>
    <row r="662" spans="1:17" x14ac:dyDescent="0.25">
      <c r="A662">
        <v>0</v>
      </c>
      <c r="E662">
        <v>662</v>
      </c>
      <c r="G662" t="str">
        <f t="shared" si="95"/>
        <v>6</v>
      </c>
      <c r="H662" t="str">
        <f t="shared" si="96"/>
        <v>6</v>
      </c>
      <c r="I662" t="str">
        <f t="shared" si="97"/>
        <v>2</v>
      </c>
      <c r="K662" t="str">
        <f t="shared" si="100"/>
        <v>6</v>
      </c>
      <c r="L662" t="str">
        <f t="shared" si="101"/>
        <v>6</v>
      </c>
      <c r="M662" t="str">
        <f t="shared" si="102"/>
        <v>2</v>
      </c>
      <c r="O662" s="69">
        <f t="shared" si="94"/>
        <v>14</v>
      </c>
      <c r="P662">
        <f t="shared" si="98"/>
        <v>84</v>
      </c>
      <c r="Q662" t="str">
        <f t="shared" si="99"/>
        <v xml:space="preserve"> </v>
      </c>
    </row>
    <row r="663" spans="1:17" x14ac:dyDescent="0.25">
      <c r="A663">
        <v>0</v>
      </c>
      <c r="E663">
        <v>663</v>
      </c>
      <c r="G663" t="str">
        <f t="shared" si="95"/>
        <v>6</v>
      </c>
      <c r="H663" t="str">
        <f t="shared" si="96"/>
        <v>6</v>
      </c>
      <c r="I663" t="str">
        <f t="shared" si="97"/>
        <v>3</v>
      </c>
      <c r="K663" t="str">
        <f t="shared" si="100"/>
        <v>6</v>
      </c>
      <c r="L663" t="str">
        <f t="shared" si="101"/>
        <v>6</v>
      </c>
      <c r="M663" t="str">
        <f t="shared" si="102"/>
        <v>3</v>
      </c>
      <c r="O663" s="69">
        <f t="shared" si="94"/>
        <v>15</v>
      </c>
      <c r="P663">
        <f t="shared" si="98"/>
        <v>90</v>
      </c>
      <c r="Q663" t="str">
        <f t="shared" si="99"/>
        <v xml:space="preserve"> </v>
      </c>
    </row>
    <row r="664" spans="1:17" x14ac:dyDescent="0.25">
      <c r="A664">
        <v>0</v>
      </c>
      <c r="E664">
        <v>664</v>
      </c>
      <c r="G664" t="str">
        <f t="shared" si="95"/>
        <v>6</v>
      </c>
      <c r="H664" t="str">
        <f t="shared" si="96"/>
        <v>6</v>
      </c>
      <c r="I664" t="str">
        <f t="shared" si="97"/>
        <v>4</v>
      </c>
      <c r="K664" t="str">
        <f t="shared" si="100"/>
        <v>6</v>
      </c>
      <c r="L664" t="str">
        <f t="shared" si="101"/>
        <v>6</v>
      </c>
      <c r="M664" t="str">
        <f t="shared" si="102"/>
        <v>4</v>
      </c>
      <c r="O664" s="69">
        <f t="shared" si="94"/>
        <v>16</v>
      </c>
      <c r="P664">
        <f t="shared" si="98"/>
        <v>96</v>
      </c>
      <c r="Q664" t="str">
        <f t="shared" si="99"/>
        <v xml:space="preserve"> </v>
      </c>
    </row>
    <row r="665" spans="1:17" x14ac:dyDescent="0.25">
      <c r="A665">
        <v>0</v>
      </c>
      <c r="E665">
        <v>665</v>
      </c>
      <c r="G665" t="str">
        <f t="shared" si="95"/>
        <v>6</v>
      </c>
      <c r="H665" t="str">
        <f t="shared" si="96"/>
        <v>6</v>
      </c>
      <c r="I665" t="str">
        <f t="shared" si="97"/>
        <v>5</v>
      </c>
      <c r="K665" t="str">
        <f t="shared" si="100"/>
        <v>6</v>
      </c>
      <c r="L665" t="str">
        <f t="shared" si="101"/>
        <v>6</v>
      </c>
      <c r="M665" t="str">
        <f t="shared" si="102"/>
        <v>5</v>
      </c>
      <c r="O665" s="69">
        <f t="shared" si="94"/>
        <v>17</v>
      </c>
      <c r="P665">
        <f t="shared" si="98"/>
        <v>102</v>
      </c>
      <c r="Q665" t="str">
        <f t="shared" si="99"/>
        <v xml:space="preserve"> </v>
      </c>
    </row>
    <row r="666" spans="1:17" x14ac:dyDescent="0.25">
      <c r="A666">
        <v>0</v>
      </c>
      <c r="E666">
        <v>666</v>
      </c>
      <c r="G666" t="str">
        <f t="shared" si="95"/>
        <v>6</v>
      </c>
      <c r="H666" t="str">
        <f t="shared" si="96"/>
        <v>6</v>
      </c>
      <c r="I666" t="str">
        <f t="shared" si="97"/>
        <v>6</v>
      </c>
      <c r="K666" t="str">
        <f t="shared" si="100"/>
        <v>6</v>
      </c>
      <c r="L666" t="str">
        <f t="shared" si="101"/>
        <v>6</v>
      </c>
      <c r="M666" t="str">
        <f t="shared" si="102"/>
        <v>6</v>
      </c>
      <c r="O666" s="69">
        <f t="shared" si="94"/>
        <v>18</v>
      </c>
      <c r="P666">
        <f t="shared" si="98"/>
        <v>108</v>
      </c>
      <c r="Q666" t="str">
        <f t="shared" si="99"/>
        <v xml:space="preserve"> </v>
      </c>
    </row>
    <row r="667" spans="1:17" x14ac:dyDescent="0.25">
      <c r="A667">
        <v>0</v>
      </c>
      <c r="E667">
        <v>667</v>
      </c>
      <c r="G667" t="str">
        <f t="shared" si="95"/>
        <v>6</v>
      </c>
      <c r="H667" t="str">
        <f t="shared" si="96"/>
        <v>6</v>
      </c>
      <c r="I667" t="str">
        <f t="shared" si="97"/>
        <v>7</v>
      </c>
      <c r="K667" t="str">
        <f t="shared" si="100"/>
        <v>6</v>
      </c>
      <c r="L667" t="str">
        <f t="shared" si="101"/>
        <v>6</v>
      </c>
      <c r="M667" t="str">
        <f t="shared" si="102"/>
        <v>7</v>
      </c>
      <c r="O667" s="69">
        <f t="shared" si="94"/>
        <v>19</v>
      </c>
      <c r="P667">
        <f t="shared" si="98"/>
        <v>114</v>
      </c>
      <c r="Q667" t="str">
        <f t="shared" si="99"/>
        <v xml:space="preserve"> </v>
      </c>
    </row>
    <row r="668" spans="1:17" x14ac:dyDescent="0.25">
      <c r="A668">
        <v>0</v>
      </c>
      <c r="E668">
        <v>668</v>
      </c>
      <c r="G668" t="str">
        <f t="shared" si="95"/>
        <v>6</v>
      </c>
      <c r="H668" t="str">
        <f t="shared" si="96"/>
        <v>6</v>
      </c>
      <c r="I668" t="str">
        <f t="shared" si="97"/>
        <v>8</v>
      </c>
      <c r="K668" t="str">
        <f t="shared" si="100"/>
        <v>6</v>
      </c>
      <c r="L668" t="str">
        <f t="shared" si="101"/>
        <v>6</v>
      </c>
      <c r="M668" t="str">
        <f t="shared" si="102"/>
        <v>8</v>
      </c>
      <c r="O668" s="69">
        <f t="shared" si="94"/>
        <v>20</v>
      </c>
      <c r="P668">
        <f t="shared" si="98"/>
        <v>120</v>
      </c>
      <c r="Q668" t="str">
        <f t="shared" si="99"/>
        <v xml:space="preserve"> </v>
      </c>
    </row>
    <row r="669" spans="1:17" x14ac:dyDescent="0.25">
      <c r="A669">
        <v>0</v>
      </c>
      <c r="E669">
        <v>669</v>
      </c>
      <c r="G669" t="str">
        <f t="shared" si="95"/>
        <v>6</v>
      </c>
      <c r="H669" t="str">
        <f t="shared" si="96"/>
        <v>6</v>
      </c>
      <c r="I669" t="str">
        <f t="shared" si="97"/>
        <v>9</v>
      </c>
      <c r="K669" t="str">
        <f t="shared" si="100"/>
        <v>6</v>
      </c>
      <c r="L669" t="str">
        <f t="shared" si="101"/>
        <v>6</v>
      </c>
      <c r="M669" t="str">
        <f t="shared" si="102"/>
        <v>9</v>
      </c>
      <c r="O669" s="69">
        <f t="shared" si="94"/>
        <v>21</v>
      </c>
      <c r="P669">
        <f t="shared" si="98"/>
        <v>126</v>
      </c>
      <c r="Q669" t="str">
        <f t="shared" si="99"/>
        <v xml:space="preserve"> </v>
      </c>
    </row>
    <row r="670" spans="1:17" x14ac:dyDescent="0.25">
      <c r="A670">
        <v>0</v>
      </c>
      <c r="E670">
        <v>670</v>
      </c>
      <c r="G670" t="str">
        <f t="shared" si="95"/>
        <v>6</v>
      </c>
      <c r="H670" t="str">
        <f t="shared" si="96"/>
        <v>7</v>
      </c>
      <c r="I670" t="str">
        <f t="shared" si="97"/>
        <v>0</v>
      </c>
      <c r="K670" t="str">
        <f t="shared" si="100"/>
        <v>6</v>
      </c>
      <c r="L670" t="str">
        <f t="shared" si="101"/>
        <v>7</v>
      </c>
      <c r="M670" t="str">
        <f t="shared" si="102"/>
        <v>0</v>
      </c>
      <c r="O670" s="69">
        <f t="shared" si="94"/>
        <v>13</v>
      </c>
      <c r="P670">
        <f t="shared" si="98"/>
        <v>78</v>
      </c>
      <c r="Q670" t="str">
        <f t="shared" si="99"/>
        <v xml:space="preserve"> </v>
      </c>
    </row>
    <row r="671" spans="1:17" x14ac:dyDescent="0.25">
      <c r="A671">
        <v>0</v>
      </c>
      <c r="E671">
        <v>671</v>
      </c>
      <c r="G671" t="str">
        <f t="shared" si="95"/>
        <v>6</v>
      </c>
      <c r="H671" t="str">
        <f t="shared" si="96"/>
        <v>7</v>
      </c>
      <c r="I671" t="str">
        <f t="shared" si="97"/>
        <v>1</v>
      </c>
      <c r="K671" t="str">
        <f t="shared" si="100"/>
        <v>6</v>
      </c>
      <c r="L671" t="str">
        <f t="shared" si="101"/>
        <v>7</v>
      </c>
      <c r="M671" t="str">
        <f t="shared" si="102"/>
        <v>1</v>
      </c>
      <c r="O671" s="69">
        <f t="shared" si="94"/>
        <v>14</v>
      </c>
      <c r="P671">
        <f t="shared" si="98"/>
        <v>84</v>
      </c>
      <c r="Q671" t="str">
        <f t="shared" si="99"/>
        <v xml:space="preserve"> </v>
      </c>
    </row>
    <row r="672" spans="1:17" x14ac:dyDescent="0.25">
      <c r="A672">
        <v>0</v>
      </c>
      <c r="E672">
        <v>672</v>
      </c>
      <c r="G672" t="str">
        <f t="shared" si="95"/>
        <v>6</v>
      </c>
      <c r="H672" t="str">
        <f t="shared" si="96"/>
        <v>7</v>
      </c>
      <c r="I672" t="str">
        <f t="shared" si="97"/>
        <v>2</v>
      </c>
      <c r="K672" t="str">
        <f t="shared" si="100"/>
        <v>6</v>
      </c>
      <c r="L672" t="str">
        <f t="shared" si="101"/>
        <v>7</v>
      </c>
      <c r="M672" t="str">
        <f t="shared" si="102"/>
        <v>2</v>
      </c>
      <c r="O672" s="69">
        <f t="shared" si="94"/>
        <v>15</v>
      </c>
      <c r="P672">
        <f t="shared" si="98"/>
        <v>90</v>
      </c>
      <c r="Q672" t="str">
        <f t="shared" si="99"/>
        <v xml:space="preserve"> </v>
      </c>
    </row>
    <row r="673" spans="1:17" x14ac:dyDescent="0.25">
      <c r="A673">
        <v>0</v>
      </c>
      <c r="E673">
        <v>673</v>
      </c>
      <c r="G673" t="str">
        <f t="shared" si="95"/>
        <v>6</v>
      </c>
      <c r="H673" t="str">
        <f t="shared" si="96"/>
        <v>7</v>
      </c>
      <c r="I673" t="str">
        <f t="shared" si="97"/>
        <v>3</v>
      </c>
      <c r="K673" t="str">
        <f t="shared" si="100"/>
        <v>6</v>
      </c>
      <c r="L673" t="str">
        <f t="shared" si="101"/>
        <v>7</v>
      </c>
      <c r="M673" t="str">
        <f t="shared" si="102"/>
        <v>3</v>
      </c>
      <c r="O673" s="69">
        <f t="shared" si="94"/>
        <v>16</v>
      </c>
      <c r="P673">
        <f t="shared" si="98"/>
        <v>96</v>
      </c>
      <c r="Q673" t="str">
        <f t="shared" si="99"/>
        <v xml:space="preserve"> </v>
      </c>
    </row>
    <row r="674" spans="1:17" x14ac:dyDescent="0.25">
      <c r="A674">
        <v>0</v>
      </c>
      <c r="E674">
        <v>674</v>
      </c>
      <c r="G674" t="str">
        <f t="shared" si="95"/>
        <v>6</v>
      </c>
      <c r="H674" t="str">
        <f t="shared" si="96"/>
        <v>7</v>
      </c>
      <c r="I674" t="str">
        <f t="shared" si="97"/>
        <v>4</v>
      </c>
      <c r="K674" t="str">
        <f t="shared" si="100"/>
        <v>6</v>
      </c>
      <c r="L674" t="str">
        <f t="shared" si="101"/>
        <v>7</v>
      </c>
      <c r="M674" t="str">
        <f t="shared" si="102"/>
        <v>4</v>
      </c>
      <c r="O674" s="69">
        <f t="shared" si="94"/>
        <v>17</v>
      </c>
      <c r="P674">
        <f t="shared" si="98"/>
        <v>102</v>
      </c>
      <c r="Q674" t="str">
        <f t="shared" si="99"/>
        <v xml:space="preserve"> </v>
      </c>
    </row>
    <row r="675" spans="1:17" x14ac:dyDescent="0.25">
      <c r="A675">
        <v>0</v>
      </c>
      <c r="E675">
        <v>675</v>
      </c>
      <c r="G675" t="str">
        <f t="shared" si="95"/>
        <v>6</v>
      </c>
      <c r="H675" t="str">
        <f t="shared" si="96"/>
        <v>7</v>
      </c>
      <c r="I675" t="str">
        <f t="shared" si="97"/>
        <v>5</v>
      </c>
      <c r="K675" t="str">
        <f t="shared" si="100"/>
        <v>6</v>
      </c>
      <c r="L675" t="str">
        <f t="shared" si="101"/>
        <v>7</v>
      </c>
      <c r="M675" t="str">
        <f t="shared" si="102"/>
        <v>5</v>
      </c>
      <c r="O675" s="69">
        <f t="shared" si="94"/>
        <v>18</v>
      </c>
      <c r="P675">
        <f t="shared" si="98"/>
        <v>108</v>
      </c>
      <c r="Q675" t="str">
        <f t="shared" si="99"/>
        <v xml:space="preserve"> </v>
      </c>
    </row>
    <row r="676" spans="1:17" x14ac:dyDescent="0.25">
      <c r="A676">
        <v>0</v>
      </c>
      <c r="E676">
        <v>676</v>
      </c>
      <c r="G676" t="str">
        <f t="shared" si="95"/>
        <v>6</v>
      </c>
      <c r="H676" t="str">
        <f t="shared" si="96"/>
        <v>7</v>
      </c>
      <c r="I676" t="str">
        <f t="shared" si="97"/>
        <v>6</v>
      </c>
      <c r="K676" t="str">
        <f t="shared" si="100"/>
        <v>6</v>
      </c>
      <c r="L676" t="str">
        <f t="shared" si="101"/>
        <v>7</v>
      </c>
      <c r="M676" t="str">
        <f t="shared" si="102"/>
        <v>6</v>
      </c>
      <c r="O676" s="69">
        <f t="shared" si="94"/>
        <v>19</v>
      </c>
      <c r="P676">
        <f t="shared" si="98"/>
        <v>114</v>
      </c>
      <c r="Q676" t="str">
        <f t="shared" si="99"/>
        <v xml:space="preserve"> </v>
      </c>
    </row>
    <row r="677" spans="1:17" x14ac:dyDescent="0.25">
      <c r="A677">
        <v>0</v>
      </c>
      <c r="E677">
        <v>677</v>
      </c>
      <c r="G677" t="str">
        <f t="shared" si="95"/>
        <v>6</v>
      </c>
      <c r="H677" t="str">
        <f t="shared" si="96"/>
        <v>7</v>
      </c>
      <c r="I677" t="str">
        <f t="shared" si="97"/>
        <v>7</v>
      </c>
      <c r="K677" t="str">
        <f t="shared" si="100"/>
        <v>6</v>
      </c>
      <c r="L677" t="str">
        <f t="shared" si="101"/>
        <v>7</v>
      </c>
      <c r="M677" t="str">
        <f t="shared" si="102"/>
        <v>7</v>
      </c>
      <c r="O677" s="69">
        <f t="shared" ref="O677:O740" si="103">+K677+L677+M677</f>
        <v>20</v>
      </c>
      <c r="P677">
        <f t="shared" si="98"/>
        <v>120</v>
      </c>
      <c r="Q677" t="str">
        <f t="shared" si="99"/>
        <v xml:space="preserve"> </v>
      </c>
    </row>
    <row r="678" spans="1:17" x14ac:dyDescent="0.25">
      <c r="A678">
        <v>0</v>
      </c>
      <c r="E678">
        <v>678</v>
      </c>
      <c r="G678" t="str">
        <f t="shared" si="95"/>
        <v>6</v>
      </c>
      <c r="H678" t="str">
        <f t="shared" si="96"/>
        <v>7</v>
      </c>
      <c r="I678" t="str">
        <f t="shared" si="97"/>
        <v>8</v>
      </c>
      <c r="K678" t="str">
        <f t="shared" si="100"/>
        <v>6</v>
      </c>
      <c r="L678" t="str">
        <f t="shared" si="101"/>
        <v>7</v>
      </c>
      <c r="M678" t="str">
        <f t="shared" si="102"/>
        <v>8</v>
      </c>
      <c r="O678" s="69">
        <f t="shared" si="103"/>
        <v>21</v>
      </c>
      <c r="P678">
        <f t="shared" si="98"/>
        <v>126</v>
      </c>
      <c r="Q678" t="str">
        <f t="shared" si="99"/>
        <v xml:space="preserve"> </v>
      </c>
    </row>
    <row r="679" spans="1:17" x14ac:dyDescent="0.25">
      <c r="A679">
        <v>0</v>
      </c>
      <c r="E679">
        <v>679</v>
      </c>
      <c r="G679" t="str">
        <f t="shared" si="95"/>
        <v>6</v>
      </c>
      <c r="H679" t="str">
        <f t="shared" si="96"/>
        <v>7</v>
      </c>
      <c r="I679" t="str">
        <f t="shared" si="97"/>
        <v>9</v>
      </c>
      <c r="K679" t="str">
        <f t="shared" si="100"/>
        <v>6</v>
      </c>
      <c r="L679" t="str">
        <f t="shared" si="101"/>
        <v>7</v>
      </c>
      <c r="M679" t="str">
        <f t="shared" si="102"/>
        <v>9</v>
      </c>
      <c r="O679" s="69">
        <f t="shared" si="103"/>
        <v>22</v>
      </c>
      <c r="P679">
        <f t="shared" si="98"/>
        <v>132</v>
      </c>
      <c r="Q679" t="str">
        <f t="shared" si="99"/>
        <v xml:space="preserve"> </v>
      </c>
    </row>
    <row r="680" spans="1:17" x14ac:dyDescent="0.25">
      <c r="A680">
        <v>0</v>
      </c>
      <c r="E680">
        <v>680</v>
      </c>
      <c r="G680" t="str">
        <f t="shared" si="95"/>
        <v>6</v>
      </c>
      <c r="H680" t="str">
        <f t="shared" si="96"/>
        <v>8</v>
      </c>
      <c r="I680" t="str">
        <f t="shared" si="97"/>
        <v>0</v>
      </c>
      <c r="K680" t="str">
        <f t="shared" si="100"/>
        <v>6</v>
      </c>
      <c r="L680" t="str">
        <f t="shared" si="101"/>
        <v>8</v>
      </c>
      <c r="M680" t="str">
        <f t="shared" si="102"/>
        <v>0</v>
      </c>
      <c r="O680" s="69">
        <f t="shared" si="103"/>
        <v>14</v>
      </c>
      <c r="P680">
        <f t="shared" si="98"/>
        <v>84</v>
      </c>
      <c r="Q680" t="str">
        <f t="shared" si="99"/>
        <v xml:space="preserve"> </v>
      </c>
    </row>
    <row r="681" spans="1:17" x14ac:dyDescent="0.25">
      <c r="A681">
        <v>0</v>
      </c>
      <c r="E681">
        <v>681</v>
      </c>
      <c r="G681" t="str">
        <f t="shared" si="95"/>
        <v>6</v>
      </c>
      <c r="H681" t="str">
        <f t="shared" si="96"/>
        <v>8</v>
      </c>
      <c r="I681" t="str">
        <f t="shared" si="97"/>
        <v>1</v>
      </c>
      <c r="K681" t="str">
        <f t="shared" si="100"/>
        <v>6</v>
      </c>
      <c r="L681" t="str">
        <f t="shared" si="101"/>
        <v>8</v>
      </c>
      <c r="M681" t="str">
        <f t="shared" si="102"/>
        <v>1</v>
      </c>
      <c r="O681" s="69">
        <f t="shared" si="103"/>
        <v>15</v>
      </c>
      <c r="P681">
        <f t="shared" si="98"/>
        <v>90</v>
      </c>
      <c r="Q681" t="str">
        <f t="shared" si="99"/>
        <v xml:space="preserve"> </v>
      </c>
    </row>
    <row r="682" spans="1:17" x14ac:dyDescent="0.25">
      <c r="A682">
        <v>0</v>
      </c>
      <c r="E682">
        <v>682</v>
      </c>
      <c r="G682" t="str">
        <f t="shared" si="95"/>
        <v>6</v>
      </c>
      <c r="H682" t="str">
        <f t="shared" si="96"/>
        <v>8</v>
      </c>
      <c r="I682" t="str">
        <f t="shared" si="97"/>
        <v>2</v>
      </c>
      <c r="K682" t="str">
        <f t="shared" si="100"/>
        <v>6</v>
      </c>
      <c r="L682" t="str">
        <f t="shared" si="101"/>
        <v>8</v>
      </c>
      <c r="M682" t="str">
        <f t="shared" si="102"/>
        <v>2</v>
      </c>
      <c r="O682" s="69">
        <f t="shared" si="103"/>
        <v>16</v>
      </c>
      <c r="P682">
        <f t="shared" si="98"/>
        <v>96</v>
      </c>
      <c r="Q682" t="str">
        <f t="shared" si="99"/>
        <v xml:space="preserve"> </v>
      </c>
    </row>
    <row r="683" spans="1:17" x14ac:dyDescent="0.25">
      <c r="A683">
        <v>0</v>
      </c>
      <c r="E683">
        <v>683</v>
      </c>
      <c r="G683" t="str">
        <f t="shared" si="95"/>
        <v>6</v>
      </c>
      <c r="H683" t="str">
        <f t="shared" si="96"/>
        <v>8</v>
      </c>
      <c r="I683" t="str">
        <f t="shared" si="97"/>
        <v>3</v>
      </c>
      <c r="K683" t="str">
        <f t="shared" si="100"/>
        <v>6</v>
      </c>
      <c r="L683" t="str">
        <f t="shared" si="101"/>
        <v>8</v>
      </c>
      <c r="M683" t="str">
        <f t="shared" si="102"/>
        <v>3</v>
      </c>
      <c r="O683" s="69">
        <f t="shared" si="103"/>
        <v>17</v>
      </c>
      <c r="P683">
        <f t="shared" si="98"/>
        <v>102</v>
      </c>
      <c r="Q683" t="str">
        <f t="shared" si="99"/>
        <v xml:space="preserve"> </v>
      </c>
    </row>
    <row r="684" spans="1:17" x14ac:dyDescent="0.25">
      <c r="A684">
        <v>0</v>
      </c>
      <c r="E684">
        <v>684</v>
      </c>
      <c r="G684" t="str">
        <f t="shared" si="95"/>
        <v>6</v>
      </c>
      <c r="H684" t="str">
        <f t="shared" si="96"/>
        <v>8</v>
      </c>
      <c r="I684" t="str">
        <f t="shared" si="97"/>
        <v>4</v>
      </c>
      <c r="K684" t="str">
        <f t="shared" si="100"/>
        <v>6</v>
      </c>
      <c r="L684" t="str">
        <f t="shared" si="101"/>
        <v>8</v>
      </c>
      <c r="M684" t="str">
        <f t="shared" si="102"/>
        <v>4</v>
      </c>
      <c r="O684" s="69">
        <f t="shared" si="103"/>
        <v>18</v>
      </c>
      <c r="P684">
        <f t="shared" si="98"/>
        <v>108</v>
      </c>
      <c r="Q684" t="str">
        <f t="shared" si="99"/>
        <v xml:space="preserve"> </v>
      </c>
    </row>
    <row r="685" spans="1:17" x14ac:dyDescent="0.25">
      <c r="A685">
        <v>0</v>
      </c>
      <c r="E685">
        <v>685</v>
      </c>
      <c r="G685" t="str">
        <f t="shared" si="95"/>
        <v>6</v>
      </c>
      <c r="H685" t="str">
        <f t="shared" si="96"/>
        <v>8</v>
      </c>
      <c r="I685" t="str">
        <f t="shared" si="97"/>
        <v>5</v>
      </c>
      <c r="K685" t="str">
        <f t="shared" si="100"/>
        <v>6</v>
      </c>
      <c r="L685" t="str">
        <f t="shared" si="101"/>
        <v>8</v>
      </c>
      <c r="M685" t="str">
        <f t="shared" si="102"/>
        <v>5</v>
      </c>
      <c r="O685" s="69">
        <f t="shared" si="103"/>
        <v>19</v>
      </c>
      <c r="P685">
        <f t="shared" si="98"/>
        <v>114</v>
      </c>
      <c r="Q685" t="str">
        <f t="shared" si="99"/>
        <v xml:space="preserve"> </v>
      </c>
    </row>
    <row r="686" spans="1:17" x14ac:dyDescent="0.25">
      <c r="A686">
        <v>0</v>
      </c>
      <c r="E686">
        <v>686</v>
      </c>
      <c r="G686" t="str">
        <f t="shared" si="95"/>
        <v>6</v>
      </c>
      <c r="H686" t="str">
        <f t="shared" si="96"/>
        <v>8</v>
      </c>
      <c r="I686" t="str">
        <f t="shared" si="97"/>
        <v>6</v>
      </c>
      <c r="K686" t="str">
        <f t="shared" si="100"/>
        <v>6</v>
      </c>
      <c r="L686" t="str">
        <f t="shared" si="101"/>
        <v>8</v>
      </c>
      <c r="M686" t="str">
        <f t="shared" si="102"/>
        <v>6</v>
      </c>
      <c r="O686" s="69">
        <f t="shared" si="103"/>
        <v>20</v>
      </c>
      <c r="P686">
        <f t="shared" si="98"/>
        <v>120</v>
      </c>
      <c r="Q686" t="str">
        <f t="shared" si="99"/>
        <v xml:space="preserve"> </v>
      </c>
    </row>
    <row r="687" spans="1:17" x14ac:dyDescent="0.25">
      <c r="A687">
        <v>0</v>
      </c>
      <c r="E687">
        <v>687</v>
      </c>
      <c r="G687" t="str">
        <f t="shared" si="95"/>
        <v>6</v>
      </c>
      <c r="H687" t="str">
        <f t="shared" si="96"/>
        <v>8</v>
      </c>
      <c r="I687" t="str">
        <f t="shared" si="97"/>
        <v>7</v>
      </c>
      <c r="K687" t="str">
        <f t="shared" si="100"/>
        <v>6</v>
      </c>
      <c r="L687" t="str">
        <f t="shared" si="101"/>
        <v>8</v>
      </c>
      <c r="M687" t="str">
        <f t="shared" si="102"/>
        <v>7</v>
      </c>
      <c r="O687" s="69">
        <f t="shared" si="103"/>
        <v>21</v>
      </c>
      <c r="P687">
        <f t="shared" si="98"/>
        <v>126</v>
      </c>
      <c r="Q687" t="str">
        <f t="shared" si="99"/>
        <v xml:space="preserve"> </v>
      </c>
    </row>
    <row r="688" spans="1:17" x14ac:dyDescent="0.25">
      <c r="A688">
        <v>0</v>
      </c>
      <c r="E688">
        <v>688</v>
      </c>
      <c r="G688" t="str">
        <f t="shared" si="95"/>
        <v>6</v>
      </c>
      <c r="H688" t="str">
        <f t="shared" si="96"/>
        <v>8</v>
      </c>
      <c r="I688" t="str">
        <f t="shared" si="97"/>
        <v>8</v>
      </c>
      <c r="K688" t="str">
        <f t="shared" si="100"/>
        <v>6</v>
      </c>
      <c r="L688" t="str">
        <f t="shared" si="101"/>
        <v>8</v>
      </c>
      <c r="M688" t="str">
        <f t="shared" si="102"/>
        <v>8</v>
      </c>
      <c r="O688" s="69">
        <f t="shared" si="103"/>
        <v>22</v>
      </c>
      <c r="P688">
        <f t="shared" si="98"/>
        <v>132</v>
      </c>
      <c r="Q688" t="str">
        <f t="shared" si="99"/>
        <v xml:space="preserve"> </v>
      </c>
    </row>
    <row r="689" spans="1:17" x14ac:dyDescent="0.25">
      <c r="A689">
        <v>0</v>
      </c>
      <c r="E689">
        <v>689</v>
      </c>
      <c r="G689" t="str">
        <f t="shared" si="95"/>
        <v>6</v>
      </c>
      <c r="H689" t="str">
        <f t="shared" si="96"/>
        <v>8</v>
      </c>
      <c r="I689" t="str">
        <f t="shared" si="97"/>
        <v>9</v>
      </c>
      <c r="K689" t="str">
        <f t="shared" si="100"/>
        <v>6</v>
      </c>
      <c r="L689" t="str">
        <f t="shared" si="101"/>
        <v>8</v>
      </c>
      <c r="M689" t="str">
        <f t="shared" si="102"/>
        <v>9</v>
      </c>
      <c r="O689" s="69">
        <f t="shared" si="103"/>
        <v>23</v>
      </c>
      <c r="P689">
        <f t="shared" si="98"/>
        <v>138</v>
      </c>
      <c r="Q689" t="str">
        <f t="shared" si="99"/>
        <v xml:space="preserve"> </v>
      </c>
    </row>
    <row r="690" spans="1:17" x14ac:dyDescent="0.25">
      <c r="A690">
        <v>0</v>
      </c>
      <c r="E690">
        <v>690</v>
      </c>
      <c r="G690" t="str">
        <f t="shared" si="95"/>
        <v>6</v>
      </c>
      <c r="H690" t="str">
        <f t="shared" si="96"/>
        <v>9</v>
      </c>
      <c r="I690" t="str">
        <f t="shared" si="97"/>
        <v>0</v>
      </c>
      <c r="K690" t="str">
        <f t="shared" si="100"/>
        <v>6</v>
      </c>
      <c r="L690" t="str">
        <f t="shared" si="101"/>
        <v>9</v>
      </c>
      <c r="M690" t="str">
        <f t="shared" si="102"/>
        <v>0</v>
      </c>
      <c r="O690" s="69">
        <f t="shared" si="103"/>
        <v>15</v>
      </c>
      <c r="P690">
        <f t="shared" si="98"/>
        <v>90</v>
      </c>
      <c r="Q690" t="str">
        <f t="shared" si="99"/>
        <v xml:space="preserve"> </v>
      </c>
    </row>
    <row r="691" spans="1:17" x14ac:dyDescent="0.25">
      <c r="A691">
        <v>0</v>
      </c>
      <c r="E691">
        <v>691</v>
      </c>
      <c r="G691" t="str">
        <f t="shared" si="95"/>
        <v>6</v>
      </c>
      <c r="H691" t="str">
        <f t="shared" si="96"/>
        <v>9</v>
      </c>
      <c r="I691" t="str">
        <f t="shared" si="97"/>
        <v>1</v>
      </c>
      <c r="K691" t="str">
        <f t="shared" si="100"/>
        <v>6</v>
      </c>
      <c r="L691" t="str">
        <f t="shared" si="101"/>
        <v>9</v>
      </c>
      <c r="M691" t="str">
        <f t="shared" si="102"/>
        <v>1</v>
      </c>
      <c r="O691" s="69">
        <f t="shared" si="103"/>
        <v>16</v>
      </c>
      <c r="P691">
        <f t="shared" si="98"/>
        <v>96</v>
      </c>
      <c r="Q691" t="str">
        <f t="shared" si="99"/>
        <v xml:space="preserve"> </v>
      </c>
    </row>
    <row r="692" spans="1:17" x14ac:dyDescent="0.25">
      <c r="A692">
        <v>0</v>
      </c>
      <c r="E692">
        <v>692</v>
      </c>
      <c r="G692" t="str">
        <f t="shared" si="95"/>
        <v>6</v>
      </c>
      <c r="H692" t="str">
        <f t="shared" si="96"/>
        <v>9</v>
      </c>
      <c r="I692" t="str">
        <f t="shared" si="97"/>
        <v>2</v>
      </c>
      <c r="K692" t="str">
        <f t="shared" si="100"/>
        <v>6</v>
      </c>
      <c r="L692" t="str">
        <f t="shared" si="101"/>
        <v>9</v>
      </c>
      <c r="M692" t="str">
        <f t="shared" si="102"/>
        <v>2</v>
      </c>
      <c r="O692" s="69">
        <f t="shared" si="103"/>
        <v>17</v>
      </c>
      <c r="P692">
        <f t="shared" si="98"/>
        <v>102</v>
      </c>
      <c r="Q692" t="str">
        <f t="shared" si="99"/>
        <v xml:space="preserve"> </v>
      </c>
    </row>
    <row r="693" spans="1:17" x14ac:dyDescent="0.25">
      <c r="A693">
        <v>0</v>
      </c>
      <c r="E693">
        <v>693</v>
      </c>
      <c r="G693" t="str">
        <f t="shared" si="95"/>
        <v>6</v>
      </c>
      <c r="H693" t="str">
        <f t="shared" si="96"/>
        <v>9</v>
      </c>
      <c r="I693" t="str">
        <f t="shared" si="97"/>
        <v>3</v>
      </c>
      <c r="K693" t="str">
        <f t="shared" si="100"/>
        <v>6</v>
      </c>
      <c r="L693" t="str">
        <f t="shared" si="101"/>
        <v>9</v>
      </c>
      <c r="M693" t="str">
        <f t="shared" si="102"/>
        <v>3</v>
      </c>
      <c r="O693" s="69">
        <f t="shared" si="103"/>
        <v>18</v>
      </c>
      <c r="P693">
        <f t="shared" si="98"/>
        <v>108</v>
      </c>
      <c r="Q693" t="str">
        <f t="shared" si="99"/>
        <v xml:space="preserve"> </v>
      </c>
    </row>
    <row r="694" spans="1:17" x14ac:dyDescent="0.25">
      <c r="A694">
        <v>0</v>
      </c>
      <c r="E694">
        <v>694</v>
      </c>
      <c r="G694" t="str">
        <f t="shared" si="95"/>
        <v>6</v>
      </c>
      <c r="H694" t="str">
        <f t="shared" si="96"/>
        <v>9</v>
      </c>
      <c r="I694" t="str">
        <f t="shared" si="97"/>
        <v>4</v>
      </c>
      <c r="K694" t="str">
        <f t="shared" si="100"/>
        <v>6</v>
      </c>
      <c r="L694" t="str">
        <f t="shared" si="101"/>
        <v>9</v>
      </c>
      <c r="M694" t="str">
        <f t="shared" si="102"/>
        <v>4</v>
      </c>
      <c r="O694" s="69">
        <f t="shared" si="103"/>
        <v>19</v>
      </c>
      <c r="P694">
        <f t="shared" si="98"/>
        <v>114</v>
      </c>
      <c r="Q694" t="str">
        <f t="shared" si="99"/>
        <v xml:space="preserve"> </v>
      </c>
    </row>
    <row r="695" spans="1:17" x14ac:dyDescent="0.25">
      <c r="A695">
        <v>0</v>
      </c>
      <c r="E695">
        <v>695</v>
      </c>
      <c r="G695" t="str">
        <f t="shared" si="95"/>
        <v>6</v>
      </c>
      <c r="H695" t="str">
        <f t="shared" si="96"/>
        <v>9</v>
      </c>
      <c r="I695" t="str">
        <f t="shared" si="97"/>
        <v>5</v>
      </c>
      <c r="K695" t="str">
        <f t="shared" si="100"/>
        <v>6</v>
      </c>
      <c r="L695" t="str">
        <f t="shared" si="101"/>
        <v>9</v>
      </c>
      <c r="M695" t="str">
        <f t="shared" si="102"/>
        <v>5</v>
      </c>
      <c r="O695" s="69">
        <f t="shared" si="103"/>
        <v>20</v>
      </c>
      <c r="P695">
        <f t="shared" si="98"/>
        <v>120</v>
      </c>
      <c r="Q695" t="str">
        <f t="shared" si="99"/>
        <v xml:space="preserve"> </v>
      </c>
    </row>
    <row r="696" spans="1:17" x14ac:dyDescent="0.25">
      <c r="A696">
        <v>0</v>
      </c>
      <c r="E696">
        <v>696</v>
      </c>
      <c r="G696" t="str">
        <f t="shared" si="95"/>
        <v>6</v>
      </c>
      <c r="H696" t="str">
        <f t="shared" si="96"/>
        <v>9</v>
      </c>
      <c r="I696" t="str">
        <f t="shared" si="97"/>
        <v>6</v>
      </c>
      <c r="K696" t="str">
        <f t="shared" si="100"/>
        <v>6</v>
      </c>
      <c r="L696" t="str">
        <f t="shared" si="101"/>
        <v>9</v>
      </c>
      <c r="M696" t="str">
        <f t="shared" si="102"/>
        <v>6</v>
      </c>
      <c r="O696" s="69">
        <f t="shared" si="103"/>
        <v>21</v>
      </c>
      <c r="P696">
        <f t="shared" si="98"/>
        <v>126</v>
      </c>
      <c r="Q696" t="str">
        <f t="shared" si="99"/>
        <v xml:space="preserve"> </v>
      </c>
    </row>
    <row r="697" spans="1:17" x14ac:dyDescent="0.25">
      <c r="A697">
        <v>0</v>
      </c>
      <c r="E697">
        <v>697</v>
      </c>
      <c r="G697" t="str">
        <f t="shared" si="95"/>
        <v>6</v>
      </c>
      <c r="H697" t="str">
        <f t="shared" si="96"/>
        <v>9</v>
      </c>
      <c r="I697" t="str">
        <f t="shared" si="97"/>
        <v>7</v>
      </c>
      <c r="K697" t="str">
        <f t="shared" si="100"/>
        <v>6</v>
      </c>
      <c r="L697" t="str">
        <f t="shared" si="101"/>
        <v>9</v>
      </c>
      <c r="M697" t="str">
        <f t="shared" si="102"/>
        <v>7</v>
      </c>
      <c r="O697" s="69">
        <f t="shared" si="103"/>
        <v>22</v>
      </c>
      <c r="P697">
        <f t="shared" si="98"/>
        <v>132</v>
      </c>
      <c r="Q697" t="str">
        <f t="shared" si="99"/>
        <v xml:space="preserve"> </v>
      </c>
    </row>
    <row r="698" spans="1:17" x14ac:dyDescent="0.25">
      <c r="A698">
        <v>0</v>
      </c>
      <c r="E698">
        <v>698</v>
      </c>
      <c r="G698" t="str">
        <f t="shared" si="95"/>
        <v>6</v>
      </c>
      <c r="H698" t="str">
        <f t="shared" si="96"/>
        <v>9</v>
      </c>
      <c r="I698" t="str">
        <f t="shared" si="97"/>
        <v>8</v>
      </c>
      <c r="K698" t="str">
        <f t="shared" si="100"/>
        <v>6</v>
      </c>
      <c r="L698" t="str">
        <f t="shared" si="101"/>
        <v>9</v>
      </c>
      <c r="M698" t="str">
        <f t="shared" si="102"/>
        <v>8</v>
      </c>
      <c r="O698" s="69">
        <f t="shared" si="103"/>
        <v>23</v>
      </c>
      <c r="P698">
        <f t="shared" si="98"/>
        <v>138</v>
      </c>
      <c r="Q698" t="str">
        <f t="shared" si="99"/>
        <v xml:space="preserve"> </v>
      </c>
    </row>
    <row r="699" spans="1:17" x14ac:dyDescent="0.25">
      <c r="A699">
        <v>0</v>
      </c>
      <c r="E699">
        <v>699</v>
      </c>
      <c r="G699" t="str">
        <f t="shared" si="95"/>
        <v>6</v>
      </c>
      <c r="H699" t="str">
        <f t="shared" si="96"/>
        <v>9</v>
      </c>
      <c r="I699" t="str">
        <f t="shared" si="97"/>
        <v>9</v>
      </c>
      <c r="K699" t="str">
        <f t="shared" si="100"/>
        <v>6</v>
      </c>
      <c r="L699" t="str">
        <f t="shared" si="101"/>
        <v>9</v>
      </c>
      <c r="M699" t="str">
        <f t="shared" si="102"/>
        <v>9</v>
      </c>
      <c r="O699" s="69">
        <f t="shared" si="103"/>
        <v>24</v>
      </c>
      <c r="P699">
        <f t="shared" si="98"/>
        <v>144</v>
      </c>
      <c r="Q699" t="str">
        <f t="shared" si="99"/>
        <v xml:space="preserve"> </v>
      </c>
    </row>
    <row r="700" spans="1:17" x14ac:dyDescent="0.25">
      <c r="A700">
        <v>0</v>
      </c>
      <c r="E700">
        <v>700</v>
      </c>
      <c r="G700" t="str">
        <f t="shared" si="95"/>
        <v>7</v>
      </c>
      <c r="H700" t="str">
        <f t="shared" si="96"/>
        <v>0</v>
      </c>
      <c r="I700" t="str">
        <f t="shared" si="97"/>
        <v>0</v>
      </c>
      <c r="K700" t="str">
        <f t="shared" si="100"/>
        <v>7</v>
      </c>
      <c r="L700" t="str">
        <f t="shared" si="101"/>
        <v>0</v>
      </c>
      <c r="M700" t="str">
        <f t="shared" si="102"/>
        <v>0</v>
      </c>
      <c r="O700" s="69">
        <f t="shared" si="103"/>
        <v>7</v>
      </c>
      <c r="P700">
        <f t="shared" si="98"/>
        <v>42</v>
      </c>
      <c r="Q700" t="str">
        <f t="shared" si="99"/>
        <v xml:space="preserve"> </v>
      </c>
    </row>
    <row r="701" spans="1:17" x14ac:dyDescent="0.25">
      <c r="A701">
        <v>0</v>
      </c>
      <c r="E701">
        <v>701</v>
      </c>
      <c r="G701" t="str">
        <f t="shared" si="95"/>
        <v>7</v>
      </c>
      <c r="H701" t="str">
        <f t="shared" si="96"/>
        <v>0</v>
      </c>
      <c r="I701" t="str">
        <f t="shared" si="97"/>
        <v>1</v>
      </c>
      <c r="K701" t="str">
        <f t="shared" si="100"/>
        <v>7</v>
      </c>
      <c r="L701" t="str">
        <f t="shared" si="101"/>
        <v>0</v>
      </c>
      <c r="M701" t="str">
        <f t="shared" si="102"/>
        <v>1</v>
      </c>
      <c r="O701" s="69">
        <f t="shared" si="103"/>
        <v>8</v>
      </c>
      <c r="P701">
        <f t="shared" si="98"/>
        <v>48</v>
      </c>
      <c r="Q701" t="str">
        <f t="shared" si="99"/>
        <v xml:space="preserve"> </v>
      </c>
    </row>
    <row r="702" spans="1:17" x14ac:dyDescent="0.25">
      <c r="A702">
        <v>0</v>
      </c>
      <c r="E702">
        <v>702</v>
      </c>
      <c r="G702" t="str">
        <f t="shared" si="95"/>
        <v>7</v>
      </c>
      <c r="H702" t="str">
        <f t="shared" si="96"/>
        <v>0</v>
      </c>
      <c r="I702" t="str">
        <f t="shared" si="97"/>
        <v>2</v>
      </c>
      <c r="K702" t="str">
        <f t="shared" si="100"/>
        <v>7</v>
      </c>
      <c r="L702" t="str">
        <f t="shared" si="101"/>
        <v>0</v>
      </c>
      <c r="M702" t="str">
        <f t="shared" si="102"/>
        <v>2</v>
      </c>
      <c r="O702" s="69">
        <f t="shared" si="103"/>
        <v>9</v>
      </c>
      <c r="P702">
        <f t="shared" si="98"/>
        <v>54</v>
      </c>
      <c r="Q702" t="str">
        <f t="shared" si="99"/>
        <v xml:space="preserve"> </v>
      </c>
    </row>
    <row r="703" spans="1:17" x14ac:dyDescent="0.25">
      <c r="A703">
        <v>0</v>
      </c>
      <c r="E703">
        <v>703</v>
      </c>
      <c r="G703" t="str">
        <f t="shared" si="95"/>
        <v>7</v>
      </c>
      <c r="H703" t="str">
        <f t="shared" si="96"/>
        <v>0</v>
      </c>
      <c r="I703" t="str">
        <f t="shared" si="97"/>
        <v>3</v>
      </c>
      <c r="K703" t="str">
        <f t="shared" si="100"/>
        <v>7</v>
      </c>
      <c r="L703" t="str">
        <f t="shared" si="101"/>
        <v>0</v>
      </c>
      <c r="M703" t="str">
        <f t="shared" si="102"/>
        <v>3</v>
      </c>
      <c r="O703" s="69">
        <f t="shared" si="103"/>
        <v>10</v>
      </c>
      <c r="P703">
        <f t="shared" si="98"/>
        <v>60</v>
      </c>
      <c r="Q703" t="str">
        <f t="shared" si="99"/>
        <v xml:space="preserve"> </v>
      </c>
    </row>
    <row r="704" spans="1:17" x14ac:dyDescent="0.25">
      <c r="A704">
        <v>0</v>
      </c>
      <c r="E704">
        <v>704</v>
      </c>
      <c r="G704" t="str">
        <f t="shared" si="95"/>
        <v>7</v>
      </c>
      <c r="H704" t="str">
        <f t="shared" si="96"/>
        <v>0</v>
      </c>
      <c r="I704" t="str">
        <f t="shared" si="97"/>
        <v>4</v>
      </c>
      <c r="K704" t="str">
        <f t="shared" si="100"/>
        <v>7</v>
      </c>
      <c r="L704" t="str">
        <f t="shared" si="101"/>
        <v>0</v>
      </c>
      <c r="M704" t="str">
        <f t="shared" si="102"/>
        <v>4</v>
      </c>
      <c r="O704" s="69">
        <f t="shared" si="103"/>
        <v>11</v>
      </c>
      <c r="P704">
        <f t="shared" si="98"/>
        <v>66</v>
      </c>
      <c r="Q704" t="str">
        <f t="shared" si="99"/>
        <v xml:space="preserve"> </v>
      </c>
    </row>
    <row r="705" spans="1:17" x14ac:dyDescent="0.25">
      <c r="A705">
        <v>0</v>
      </c>
      <c r="E705">
        <v>705</v>
      </c>
      <c r="G705" t="str">
        <f t="shared" si="95"/>
        <v>7</v>
      </c>
      <c r="H705" t="str">
        <f t="shared" si="96"/>
        <v>0</v>
      </c>
      <c r="I705" t="str">
        <f t="shared" si="97"/>
        <v>5</v>
      </c>
      <c r="K705" t="str">
        <f t="shared" si="100"/>
        <v>7</v>
      </c>
      <c r="L705" t="str">
        <f t="shared" si="101"/>
        <v>0</v>
      </c>
      <c r="M705" t="str">
        <f t="shared" si="102"/>
        <v>5</v>
      </c>
      <c r="O705" s="69">
        <f t="shared" si="103"/>
        <v>12</v>
      </c>
      <c r="P705">
        <f t="shared" si="98"/>
        <v>72</v>
      </c>
      <c r="Q705" t="str">
        <f t="shared" si="99"/>
        <v xml:space="preserve"> </v>
      </c>
    </row>
    <row r="706" spans="1:17" x14ac:dyDescent="0.25">
      <c r="A706">
        <v>0</v>
      </c>
      <c r="E706">
        <v>706</v>
      </c>
      <c r="G706" t="str">
        <f t="shared" ref="G706:G769" si="104">+MID(E706,1,1)</f>
        <v>7</v>
      </c>
      <c r="H706" t="str">
        <f t="shared" ref="H706:H769" si="105">+MID(E706,2,1)</f>
        <v>0</v>
      </c>
      <c r="I706" t="str">
        <f t="shared" ref="I706:I769" si="106">+MID(E706,3,1)</f>
        <v>6</v>
      </c>
      <c r="K706" t="str">
        <f t="shared" si="100"/>
        <v>7</v>
      </c>
      <c r="L706" t="str">
        <f t="shared" si="101"/>
        <v>0</v>
      </c>
      <c r="M706" t="str">
        <f t="shared" si="102"/>
        <v>6</v>
      </c>
      <c r="O706" s="69">
        <f t="shared" si="103"/>
        <v>13</v>
      </c>
      <c r="P706">
        <f t="shared" ref="P706:P769" si="107">+O706*6</f>
        <v>78</v>
      </c>
      <c r="Q706" t="str">
        <f t="shared" ref="Q706:Q769" si="108">+IF(P706=E706,"OK"," ")</f>
        <v xml:space="preserve"> </v>
      </c>
    </row>
    <row r="707" spans="1:17" x14ac:dyDescent="0.25">
      <c r="A707">
        <v>0</v>
      </c>
      <c r="E707">
        <v>707</v>
      </c>
      <c r="G707" t="str">
        <f t="shared" si="104"/>
        <v>7</v>
      </c>
      <c r="H707" t="str">
        <f t="shared" si="105"/>
        <v>0</v>
      </c>
      <c r="I707" t="str">
        <f t="shared" si="106"/>
        <v>7</v>
      </c>
      <c r="K707" t="str">
        <f t="shared" si="100"/>
        <v>7</v>
      </c>
      <c r="L707" t="str">
        <f t="shared" si="101"/>
        <v>0</v>
      </c>
      <c r="M707" t="str">
        <f t="shared" si="102"/>
        <v>7</v>
      </c>
      <c r="O707" s="69">
        <f t="shared" si="103"/>
        <v>14</v>
      </c>
      <c r="P707">
        <f t="shared" si="107"/>
        <v>84</v>
      </c>
      <c r="Q707" t="str">
        <f t="shared" si="108"/>
        <v xml:space="preserve"> </v>
      </c>
    </row>
    <row r="708" spans="1:17" x14ac:dyDescent="0.25">
      <c r="A708">
        <v>0</v>
      </c>
      <c r="E708">
        <v>708</v>
      </c>
      <c r="G708" t="str">
        <f t="shared" si="104"/>
        <v>7</v>
      </c>
      <c r="H708" t="str">
        <f t="shared" si="105"/>
        <v>0</v>
      </c>
      <c r="I708" t="str">
        <f t="shared" si="106"/>
        <v>8</v>
      </c>
      <c r="K708" t="str">
        <f t="shared" si="100"/>
        <v>7</v>
      </c>
      <c r="L708" t="str">
        <f t="shared" si="101"/>
        <v>0</v>
      </c>
      <c r="M708" t="str">
        <f t="shared" si="102"/>
        <v>8</v>
      </c>
      <c r="O708" s="69">
        <f t="shared" si="103"/>
        <v>15</v>
      </c>
      <c r="P708">
        <f t="shared" si="107"/>
        <v>90</v>
      </c>
      <c r="Q708" t="str">
        <f t="shared" si="108"/>
        <v xml:space="preserve"> </v>
      </c>
    </row>
    <row r="709" spans="1:17" x14ac:dyDescent="0.25">
      <c r="A709">
        <v>0</v>
      </c>
      <c r="E709">
        <v>709</v>
      </c>
      <c r="G709" t="str">
        <f t="shared" si="104"/>
        <v>7</v>
      </c>
      <c r="H709" t="str">
        <f t="shared" si="105"/>
        <v>0</v>
      </c>
      <c r="I709" t="str">
        <f t="shared" si="106"/>
        <v>9</v>
      </c>
      <c r="K709" t="str">
        <f t="shared" si="100"/>
        <v>7</v>
      </c>
      <c r="L709" t="str">
        <f t="shared" si="101"/>
        <v>0</v>
      </c>
      <c r="M709" t="str">
        <f t="shared" si="102"/>
        <v>9</v>
      </c>
      <c r="O709" s="69">
        <f t="shared" si="103"/>
        <v>16</v>
      </c>
      <c r="P709">
        <f t="shared" si="107"/>
        <v>96</v>
      </c>
      <c r="Q709" t="str">
        <f t="shared" si="108"/>
        <v xml:space="preserve"> </v>
      </c>
    </row>
    <row r="710" spans="1:17" x14ac:dyDescent="0.25">
      <c r="A710">
        <v>0</v>
      </c>
      <c r="E710">
        <v>710</v>
      </c>
      <c r="G710" t="str">
        <f t="shared" si="104"/>
        <v>7</v>
      </c>
      <c r="H710" t="str">
        <f t="shared" si="105"/>
        <v>1</v>
      </c>
      <c r="I710" t="str">
        <f t="shared" si="106"/>
        <v>0</v>
      </c>
      <c r="K710" t="str">
        <f t="shared" si="100"/>
        <v>7</v>
      </c>
      <c r="L710" t="str">
        <f t="shared" si="101"/>
        <v>1</v>
      </c>
      <c r="M710" t="str">
        <f t="shared" si="102"/>
        <v>0</v>
      </c>
      <c r="O710" s="69">
        <f t="shared" si="103"/>
        <v>8</v>
      </c>
      <c r="P710">
        <f t="shared" si="107"/>
        <v>48</v>
      </c>
      <c r="Q710" t="str">
        <f t="shared" si="108"/>
        <v xml:space="preserve"> </v>
      </c>
    </row>
    <row r="711" spans="1:17" x14ac:dyDescent="0.25">
      <c r="A711">
        <v>0</v>
      </c>
      <c r="E711">
        <v>711</v>
      </c>
      <c r="G711" t="str">
        <f t="shared" si="104"/>
        <v>7</v>
      </c>
      <c r="H711" t="str">
        <f t="shared" si="105"/>
        <v>1</v>
      </c>
      <c r="I711" t="str">
        <f t="shared" si="106"/>
        <v>1</v>
      </c>
      <c r="K711" t="str">
        <f t="shared" si="100"/>
        <v>7</v>
      </c>
      <c r="L711" t="str">
        <f t="shared" si="101"/>
        <v>1</v>
      </c>
      <c r="M711" t="str">
        <f t="shared" si="102"/>
        <v>1</v>
      </c>
      <c r="O711" s="69">
        <f t="shared" si="103"/>
        <v>9</v>
      </c>
      <c r="P711">
        <f t="shared" si="107"/>
        <v>54</v>
      </c>
      <c r="Q711" t="str">
        <f t="shared" si="108"/>
        <v xml:space="preserve"> </v>
      </c>
    </row>
    <row r="712" spans="1:17" x14ac:dyDescent="0.25">
      <c r="A712">
        <v>0</v>
      </c>
      <c r="E712">
        <v>712</v>
      </c>
      <c r="G712" t="str">
        <f t="shared" si="104"/>
        <v>7</v>
      </c>
      <c r="H712" t="str">
        <f t="shared" si="105"/>
        <v>1</v>
      </c>
      <c r="I712" t="str">
        <f t="shared" si="106"/>
        <v>2</v>
      </c>
      <c r="K712" t="str">
        <f t="shared" si="100"/>
        <v>7</v>
      </c>
      <c r="L712" t="str">
        <f t="shared" si="101"/>
        <v>1</v>
      </c>
      <c r="M712" t="str">
        <f t="shared" si="102"/>
        <v>2</v>
      </c>
      <c r="O712" s="69">
        <f t="shared" si="103"/>
        <v>10</v>
      </c>
      <c r="P712">
        <f t="shared" si="107"/>
        <v>60</v>
      </c>
      <c r="Q712" t="str">
        <f t="shared" si="108"/>
        <v xml:space="preserve"> </v>
      </c>
    </row>
    <row r="713" spans="1:17" x14ac:dyDescent="0.25">
      <c r="A713">
        <v>0</v>
      </c>
      <c r="E713">
        <v>713</v>
      </c>
      <c r="G713" t="str">
        <f t="shared" si="104"/>
        <v>7</v>
      </c>
      <c r="H713" t="str">
        <f t="shared" si="105"/>
        <v>1</v>
      </c>
      <c r="I713" t="str">
        <f t="shared" si="106"/>
        <v>3</v>
      </c>
      <c r="K713" t="str">
        <f t="shared" si="100"/>
        <v>7</v>
      </c>
      <c r="L713" t="str">
        <f t="shared" si="101"/>
        <v>1</v>
      </c>
      <c r="M713" t="str">
        <f t="shared" si="102"/>
        <v>3</v>
      </c>
      <c r="O713" s="69">
        <f t="shared" si="103"/>
        <v>11</v>
      </c>
      <c r="P713">
        <f t="shared" si="107"/>
        <v>66</v>
      </c>
      <c r="Q713" t="str">
        <f t="shared" si="108"/>
        <v xml:space="preserve"> </v>
      </c>
    </row>
    <row r="714" spans="1:17" x14ac:dyDescent="0.25">
      <c r="A714">
        <v>0</v>
      </c>
      <c r="E714">
        <v>714</v>
      </c>
      <c r="G714" t="str">
        <f t="shared" si="104"/>
        <v>7</v>
      </c>
      <c r="H714" t="str">
        <f t="shared" si="105"/>
        <v>1</v>
      </c>
      <c r="I714" t="str">
        <f t="shared" si="106"/>
        <v>4</v>
      </c>
      <c r="K714" t="str">
        <f t="shared" si="100"/>
        <v>7</v>
      </c>
      <c r="L714" t="str">
        <f t="shared" si="101"/>
        <v>1</v>
      </c>
      <c r="M714" t="str">
        <f t="shared" si="102"/>
        <v>4</v>
      </c>
      <c r="O714" s="69">
        <f t="shared" si="103"/>
        <v>12</v>
      </c>
      <c r="P714">
        <f t="shared" si="107"/>
        <v>72</v>
      </c>
      <c r="Q714" t="str">
        <f t="shared" si="108"/>
        <v xml:space="preserve"> </v>
      </c>
    </row>
    <row r="715" spans="1:17" x14ac:dyDescent="0.25">
      <c r="A715">
        <v>0</v>
      </c>
      <c r="E715">
        <v>715</v>
      </c>
      <c r="G715" t="str">
        <f t="shared" si="104"/>
        <v>7</v>
      </c>
      <c r="H715" t="str">
        <f t="shared" si="105"/>
        <v>1</v>
      </c>
      <c r="I715" t="str">
        <f t="shared" si="106"/>
        <v>5</v>
      </c>
      <c r="K715" t="str">
        <f t="shared" si="100"/>
        <v>7</v>
      </c>
      <c r="L715" t="str">
        <f t="shared" si="101"/>
        <v>1</v>
      </c>
      <c r="M715" t="str">
        <f t="shared" si="102"/>
        <v>5</v>
      </c>
      <c r="O715" s="69">
        <f t="shared" si="103"/>
        <v>13</v>
      </c>
      <c r="P715">
        <f t="shared" si="107"/>
        <v>78</v>
      </c>
      <c r="Q715" t="str">
        <f t="shared" si="108"/>
        <v xml:space="preserve"> </v>
      </c>
    </row>
    <row r="716" spans="1:17" x14ac:dyDescent="0.25">
      <c r="A716">
        <v>0</v>
      </c>
      <c r="E716">
        <v>716</v>
      </c>
      <c r="G716" t="str">
        <f t="shared" si="104"/>
        <v>7</v>
      </c>
      <c r="H716" t="str">
        <f t="shared" si="105"/>
        <v>1</v>
      </c>
      <c r="I716" t="str">
        <f t="shared" si="106"/>
        <v>6</v>
      </c>
      <c r="K716" t="str">
        <f t="shared" si="100"/>
        <v>7</v>
      </c>
      <c r="L716" t="str">
        <f t="shared" si="101"/>
        <v>1</v>
      </c>
      <c r="M716" t="str">
        <f t="shared" si="102"/>
        <v>6</v>
      </c>
      <c r="O716" s="69">
        <f t="shared" si="103"/>
        <v>14</v>
      </c>
      <c r="P716">
        <f t="shared" si="107"/>
        <v>84</v>
      </c>
      <c r="Q716" t="str">
        <f t="shared" si="108"/>
        <v xml:space="preserve"> </v>
      </c>
    </row>
    <row r="717" spans="1:17" x14ac:dyDescent="0.25">
      <c r="A717">
        <v>0</v>
      </c>
      <c r="E717">
        <v>717</v>
      </c>
      <c r="G717" t="str">
        <f t="shared" si="104"/>
        <v>7</v>
      </c>
      <c r="H717" t="str">
        <f t="shared" si="105"/>
        <v>1</v>
      </c>
      <c r="I717" t="str">
        <f t="shared" si="106"/>
        <v>7</v>
      </c>
      <c r="K717" t="str">
        <f t="shared" si="100"/>
        <v>7</v>
      </c>
      <c r="L717" t="str">
        <f t="shared" si="101"/>
        <v>1</v>
      </c>
      <c r="M717" t="str">
        <f t="shared" si="102"/>
        <v>7</v>
      </c>
      <c r="O717" s="69">
        <f t="shared" si="103"/>
        <v>15</v>
      </c>
      <c r="P717">
        <f t="shared" si="107"/>
        <v>90</v>
      </c>
      <c r="Q717" t="str">
        <f t="shared" si="108"/>
        <v xml:space="preserve"> </v>
      </c>
    </row>
    <row r="718" spans="1:17" x14ac:dyDescent="0.25">
      <c r="A718">
        <v>0</v>
      </c>
      <c r="E718">
        <v>718</v>
      </c>
      <c r="G718" t="str">
        <f t="shared" si="104"/>
        <v>7</v>
      </c>
      <c r="H718" t="str">
        <f t="shared" si="105"/>
        <v>1</v>
      </c>
      <c r="I718" t="str">
        <f t="shared" si="106"/>
        <v>8</v>
      </c>
      <c r="K718" t="str">
        <f t="shared" si="100"/>
        <v>7</v>
      </c>
      <c r="L718" t="str">
        <f t="shared" si="101"/>
        <v>1</v>
      </c>
      <c r="M718" t="str">
        <f t="shared" si="102"/>
        <v>8</v>
      </c>
      <c r="O718" s="69">
        <f t="shared" si="103"/>
        <v>16</v>
      </c>
      <c r="P718">
        <f t="shared" si="107"/>
        <v>96</v>
      </c>
      <c r="Q718" t="str">
        <f t="shared" si="108"/>
        <v xml:space="preserve"> </v>
      </c>
    </row>
    <row r="719" spans="1:17" x14ac:dyDescent="0.25">
      <c r="A719">
        <v>0</v>
      </c>
      <c r="E719">
        <v>719</v>
      </c>
      <c r="G719" t="str">
        <f t="shared" si="104"/>
        <v>7</v>
      </c>
      <c r="H719" t="str">
        <f t="shared" si="105"/>
        <v>1</v>
      </c>
      <c r="I719" t="str">
        <f t="shared" si="106"/>
        <v>9</v>
      </c>
      <c r="K719" t="str">
        <f t="shared" si="100"/>
        <v>7</v>
      </c>
      <c r="L719" t="str">
        <f t="shared" si="101"/>
        <v>1</v>
      </c>
      <c r="M719" t="str">
        <f t="shared" si="102"/>
        <v>9</v>
      </c>
      <c r="O719" s="69">
        <f t="shared" si="103"/>
        <v>17</v>
      </c>
      <c r="P719">
        <f t="shared" si="107"/>
        <v>102</v>
      </c>
      <c r="Q719" t="str">
        <f t="shared" si="108"/>
        <v xml:space="preserve"> </v>
      </c>
    </row>
    <row r="720" spans="1:17" x14ac:dyDescent="0.25">
      <c r="A720">
        <v>0</v>
      </c>
      <c r="E720">
        <v>720</v>
      </c>
      <c r="G720" t="str">
        <f t="shared" si="104"/>
        <v>7</v>
      </c>
      <c r="H720" t="str">
        <f t="shared" si="105"/>
        <v>2</v>
      </c>
      <c r="I720" t="str">
        <f t="shared" si="106"/>
        <v>0</v>
      </c>
      <c r="K720" t="str">
        <f t="shared" si="100"/>
        <v>7</v>
      </c>
      <c r="L720" t="str">
        <f t="shared" si="101"/>
        <v>2</v>
      </c>
      <c r="M720" t="str">
        <f t="shared" si="102"/>
        <v>0</v>
      </c>
      <c r="O720" s="69">
        <f t="shared" si="103"/>
        <v>9</v>
      </c>
      <c r="P720">
        <f t="shared" si="107"/>
        <v>54</v>
      </c>
      <c r="Q720" t="str">
        <f t="shared" si="108"/>
        <v xml:space="preserve"> </v>
      </c>
    </row>
    <row r="721" spans="1:17" x14ac:dyDescent="0.25">
      <c r="A721">
        <v>0</v>
      </c>
      <c r="E721">
        <v>721</v>
      </c>
      <c r="G721" t="str">
        <f t="shared" si="104"/>
        <v>7</v>
      </c>
      <c r="H721" t="str">
        <f t="shared" si="105"/>
        <v>2</v>
      </c>
      <c r="I721" t="str">
        <f t="shared" si="106"/>
        <v>1</v>
      </c>
      <c r="K721" t="str">
        <f t="shared" si="100"/>
        <v>7</v>
      </c>
      <c r="L721" t="str">
        <f t="shared" si="101"/>
        <v>2</v>
      </c>
      <c r="M721" t="str">
        <f t="shared" si="102"/>
        <v>1</v>
      </c>
      <c r="O721" s="69">
        <f t="shared" si="103"/>
        <v>10</v>
      </c>
      <c r="P721">
        <f t="shared" si="107"/>
        <v>60</v>
      </c>
      <c r="Q721" t="str">
        <f t="shared" si="108"/>
        <v xml:space="preserve"> </v>
      </c>
    </row>
    <row r="722" spans="1:17" x14ac:dyDescent="0.25">
      <c r="A722">
        <v>0</v>
      </c>
      <c r="E722">
        <v>722</v>
      </c>
      <c r="G722" t="str">
        <f t="shared" si="104"/>
        <v>7</v>
      </c>
      <c r="H722" t="str">
        <f t="shared" si="105"/>
        <v>2</v>
      </c>
      <c r="I722" t="str">
        <f t="shared" si="106"/>
        <v>2</v>
      </c>
      <c r="K722" t="str">
        <f t="shared" ref="K722:K785" si="109">+G722</f>
        <v>7</v>
      </c>
      <c r="L722" t="str">
        <f t="shared" ref="L722:L785" si="110">+H722</f>
        <v>2</v>
      </c>
      <c r="M722" t="str">
        <f t="shared" ref="M722:M785" si="111">+I722</f>
        <v>2</v>
      </c>
      <c r="O722" s="69">
        <f t="shared" si="103"/>
        <v>11</v>
      </c>
      <c r="P722">
        <f t="shared" si="107"/>
        <v>66</v>
      </c>
      <c r="Q722" t="str">
        <f t="shared" si="108"/>
        <v xml:space="preserve"> </v>
      </c>
    </row>
    <row r="723" spans="1:17" x14ac:dyDescent="0.25">
      <c r="A723">
        <v>0</v>
      </c>
      <c r="E723">
        <v>723</v>
      </c>
      <c r="G723" t="str">
        <f t="shared" si="104"/>
        <v>7</v>
      </c>
      <c r="H723" t="str">
        <f t="shared" si="105"/>
        <v>2</v>
      </c>
      <c r="I723" t="str">
        <f t="shared" si="106"/>
        <v>3</v>
      </c>
      <c r="K723" t="str">
        <f t="shared" si="109"/>
        <v>7</v>
      </c>
      <c r="L723" t="str">
        <f t="shared" si="110"/>
        <v>2</v>
      </c>
      <c r="M723" t="str">
        <f t="shared" si="111"/>
        <v>3</v>
      </c>
      <c r="O723" s="69">
        <f t="shared" si="103"/>
        <v>12</v>
      </c>
      <c r="P723">
        <f t="shared" si="107"/>
        <v>72</v>
      </c>
      <c r="Q723" t="str">
        <f t="shared" si="108"/>
        <v xml:space="preserve"> </v>
      </c>
    </row>
    <row r="724" spans="1:17" x14ac:dyDescent="0.25">
      <c r="A724">
        <v>0</v>
      </c>
      <c r="E724">
        <v>724</v>
      </c>
      <c r="G724" t="str">
        <f t="shared" si="104"/>
        <v>7</v>
      </c>
      <c r="H724" t="str">
        <f t="shared" si="105"/>
        <v>2</v>
      </c>
      <c r="I724" t="str">
        <f t="shared" si="106"/>
        <v>4</v>
      </c>
      <c r="K724" t="str">
        <f t="shared" si="109"/>
        <v>7</v>
      </c>
      <c r="L724" t="str">
        <f t="shared" si="110"/>
        <v>2</v>
      </c>
      <c r="M724" t="str">
        <f t="shared" si="111"/>
        <v>4</v>
      </c>
      <c r="O724" s="69">
        <f t="shared" si="103"/>
        <v>13</v>
      </c>
      <c r="P724">
        <f t="shared" si="107"/>
        <v>78</v>
      </c>
      <c r="Q724" t="str">
        <f t="shared" si="108"/>
        <v xml:space="preserve"> </v>
      </c>
    </row>
    <row r="725" spans="1:17" x14ac:dyDescent="0.25">
      <c r="A725">
        <v>0</v>
      </c>
      <c r="E725">
        <v>725</v>
      </c>
      <c r="G725" t="str">
        <f t="shared" si="104"/>
        <v>7</v>
      </c>
      <c r="H725" t="str">
        <f t="shared" si="105"/>
        <v>2</v>
      </c>
      <c r="I725" t="str">
        <f t="shared" si="106"/>
        <v>5</v>
      </c>
      <c r="K725" t="str">
        <f t="shared" si="109"/>
        <v>7</v>
      </c>
      <c r="L725" t="str">
        <f t="shared" si="110"/>
        <v>2</v>
      </c>
      <c r="M725" t="str">
        <f t="shared" si="111"/>
        <v>5</v>
      </c>
      <c r="O725" s="69">
        <f t="shared" si="103"/>
        <v>14</v>
      </c>
      <c r="P725">
        <f t="shared" si="107"/>
        <v>84</v>
      </c>
      <c r="Q725" t="str">
        <f t="shared" si="108"/>
        <v xml:space="preserve"> </v>
      </c>
    </row>
    <row r="726" spans="1:17" x14ac:dyDescent="0.25">
      <c r="A726">
        <v>0</v>
      </c>
      <c r="E726">
        <v>726</v>
      </c>
      <c r="G726" t="str">
        <f t="shared" si="104"/>
        <v>7</v>
      </c>
      <c r="H726" t="str">
        <f t="shared" si="105"/>
        <v>2</v>
      </c>
      <c r="I726" t="str">
        <f t="shared" si="106"/>
        <v>6</v>
      </c>
      <c r="K726" t="str">
        <f t="shared" si="109"/>
        <v>7</v>
      </c>
      <c r="L726" t="str">
        <f t="shared" si="110"/>
        <v>2</v>
      </c>
      <c r="M726" t="str">
        <f t="shared" si="111"/>
        <v>6</v>
      </c>
      <c r="O726" s="69">
        <f t="shared" si="103"/>
        <v>15</v>
      </c>
      <c r="P726">
        <f t="shared" si="107"/>
        <v>90</v>
      </c>
      <c r="Q726" t="str">
        <f t="shared" si="108"/>
        <v xml:space="preserve"> </v>
      </c>
    </row>
    <row r="727" spans="1:17" x14ac:dyDescent="0.25">
      <c r="A727">
        <v>0</v>
      </c>
      <c r="E727">
        <v>727</v>
      </c>
      <c r="G727" t="str">
        <f t="shared" si="104"/>
        <v>7</v>
      </c>
      <c r="H727" t="str">
        <f t="shared" si="105"/>
        <v>2</v>
      </c>
      <c r="I727" t="str">
        <f t="shared" si="106"/>
        <v>7</v>
      </c>
      <c r="K727" t="str">
        <f t="shared" si="109"/>
        <v>7</v>
      </c>
      <c r="L727" t="str">
        <f t="shared" si="110"/>
        <v>2</v>
      </c>
      <c r="M727" t="str">
        <f t="shared" si="111"/>
        <v>7</v>
      </c>
      <c r="O727" s="69">
        <f t="shared" si="103"/>
        <v>16</v>
      </c>
      <c r="P727">
        <f t="shared" si="107"/>
        <v>96</v>
      </c>
      <c r="Q727" t="str">
        <f t="shared" si="108"/>
        <v xml:space="preserve"> </v>
      </c>
    </row>
    <row r="728" spans="1:17" x14ac:dyDescent="0.25">
      <c r="A728">
        <v>0</v>
      </c>
      <c r="E728">
        <v>728</v>
      </c>
      <c r="G728" t="str">
        <f t="shared" si="104"/>
        <v>7</v>
      </c>
      <c r="H728" t="str">
        <f t="shared" si="105"/>
        <v>2</v>
      </c>
      <c r="I728" t="str">
        <f t="shared" si="106"/>
        <v>8</v>
      </c>
      <c r="K728" t="str">
        <f t="shared" si="109"/>
        <v>7</v>
      </c>
      <c r="L728" t="str">
        <f t="shared" si="110"/>
        <v>2</v>
      </c>
      <c r="M728" t="str">
        <f t="shared" si="111"/>
        <v>8</v>
      </c>
      <c r="O728" s="69">
        <f t="shared" si="103"/>
        <v>17</v>
      </c>
      <c r="P728">
        <f t="shared" si="107"/>
        <v>102</v>
      </c>
      <c r="Q728" t="str">
        <f t="shared" si="108"/>
        <v xml:space="preserve"> </v>
      </c>
    </row>
    <row r="729" spans="1:17" x14ac:dyDescent="0.25">
      <c r="A729">
        <v>0</v>
      </c>
      <c r="E729">
        <v>729</v>
      </c>
      <c r="G729" t="str">
        <f t="shared" si="104"/>
        <v>7</v>
      </c>
      <c r="H729" t="str">
        <f t="shared" si="105"/>
        <v>2</v>
      </c>
      <c r="I729" t="str">
        <f t="shared" si="106"/>
        <v>9</v>
      </c>
      <c r="K729" t="str">
        <f t="shared" si="109"/>
        <v>7</v>
      </c>
      <c r="L729" t="str">
        <f t="shared" si="110"/>
        <v>2</v>
      </c>
      <c r="M729" t="str">
        <f t="shared" si="111"/>
        <v>9</v>
      </c>
      <c r="O729" s="69">
        <f t="shared" si="103"/>
        <v>18</v>
      </c>
      <c r="P729">
        <f t="shared" si="107"/>
        <v>108</v>
      </c>
      <c r="Q729" t="str">
        <f t="shared" si="108"/>
        <v xml:space="preserve"> </v>
      </c>
    </row>
    <row r="730" spans="1:17" x14ac:dyDescent="0.25">
      <c r="A730">
        <v>0</v>
      </c>
      <c r="E730">
        <v>730</v>
      </c>
      <c r="G730" t="str">
        <f t="shared" si="104"/>
        <v>7</v>
      </c>
      <c r="H730" t="str">
        <f t="shared" si="105"/>
        <v>3</v>
      </c>
      <c r="I730" t="str">
        <f t="shared" si="106"/>
        <v>0</v>
      </c>
      <c r="K730" t="str">
        <f t="shared" si="109"/>
        <v>7</v>
      </c>
      <c r="L730" t="str">
        <f t="shared" si="110"/>
        <v>3</v>
      </c>
      <c r="M730" t="str">
        <f t="shared" si="111"/>
        <v>0</v>
      </c>
      <c r="O730" s="69">
        <f t="shared" si="103"/>
        <v>10</v>
      </c>
      <c r="P730">
        <f t="shared" si="107"/>
        <v>60</v>
      </c>
      <c r="Q730" t="str">
        <f t="shared" si="108"/>
        <v xml:space="preserve"> </v>
      </c>
    </row>
    <row r="731" spans="1:17" x14ac:dyDescent="0.25">
      <c r="A731">
        <v>0</v>
      </c>
      <c r="E731">
        <v>731</v>
      </c>
      <c r="G731" t="str">
        <f t="shared" si="104"/>
        <v>7</v>
      </c>
      <c r="H731" t="str">
        <f t="shared" si="105"/>
        <v>3</v>
      </c>
      <c r="I731" t="str">
        <f t="shared" si="106"/>
        <v>1</v>
      </c>
      <c r="K731" t="str">
        <f t="shared" si="109"/>
        <v>7</v>
      </c>
      <c r="L731" t="str">
        <f t="shared" si="110"/>
        <v>3</v>
      </c>
      <c r="M731" t="str">
        <f t="shared" si="111"/>
        <v>1</v>
      </c>
      <c r="O731" s="69">
        <f t="shared" si="103"/>
        <v>11</v>
      </c>
      <c r="P731">
        <f t="shared" si="107"/>
        <v>66</v>
      </c>
      <c r="Q731" t="str">
        <f t="shared" si="108"/>
        <v xml:space="preserve"> </v>
      </c>
    </row>
    <row r="732" spans="1:17" x14ac:dyDescent="0.25">
      <c r="A732">
        <v>0</v>
      </c>
      <c r="E732">
        <v>732</v>
      </c>
      <c r="G732" t="str">
        <f t="shared" si="104"/>
        <v>7</v>
      </c>
      <c r="H732" t="str">
        <f t="shared" si="105"/>
        <v>3</v>
      </c>
      <c r="I732" t="str">
        <f t="shared" si="106"/>
        <v>2</v>
      </c>
      <c r="K732" t="str">
        <f t="shared" si="109"/>
        <v>7</v>
      </c>
      <c r="L732" t="str">
        <f t="shared" si="110"/>
        <v>3</v>
      </c>
      <c r="M732" t="str">
        <f t="shared" si="111"/>
        <v>2</v>
      </c>
      <c r="O732" s="69">
        <f t="shared" si="103"/>
        <v>12</v>
      </c>
      <c r="P732">
        <f t="shared" si="107"/>
        <v>72</v>
      </c>
      <c r="Q732" t="str">
        <f t="shared" si="108"/>
        <v xml:space="preserve"> </v>
      </c>
    </row>
    <row r="733" spans="1:17" x14ac:dyDescent="0.25">
      <c r="A733">
        <v>0</v>
      </c>
      <c r="E733">
        <v>733</v>
      </c>
      <c r="G733" t="str">
        <f t="shared" si="104"/>
        <v>7</v>
      </c>
      <c r="H733" t="str">
        <f t="shared" si="105"/>
        <v>3</v>
      </c>
      <c r="I733" t="str">
        <f t="shared" si="106"/>
        <v>3</v>
      </c>
      <c r="K733" t="str">
        <f t="shared" si="109"/>
        <v>7</v>
      </c>
      <c r="L733" t="str">
        <f t="shared" si="110"/>
        <v>3</v>
      </c>
      <c r="M733" t="str">
        <f t="shared" si="111"/>
        <v>3</v>
      </c>
      <c r="O733" s="69">
        <f t="shared" si="103"/>
        <v>13</v>
      </c>
      <c r="P733">
        <f t="shared" si="107"/>
        <v>78</v>
      </c>
      <c r="Q733" t="str">
        <f t="shared" si="108"/>
        <v xml:space="preserve"> </v>
      </c>
    </row>
    <row r="734" spans="1:17" x14ac:dyDescent="0.25">
      <c r="A734">
        <v>0</v>
      </c>
      <c r="E734">
        <v>734</v>
      </c>
      <c r="G734" t="str">
        <f t="shared" si="104"/>
        <v>7</v>
      </c>
      <c r="H734" t="str">
        <f t="shared" si="105"/>
        <v>3</v>
      </c>
      <c r="I734" t="str">
        <f t="shared" si="106"/>
        <v>4</v>
      </c>
      <c r="K734" t="str">
        <f t="shared" si="109"/>
        <v>7</v>
      </c>
      <c r="L734" t="str">
        <f t="shared" si="110"/>
        <v>3</v>
      </c>
      <c r="M734" t="str">
        <f t="shared" si="111"/>
        <v>4</v>
      </c>
      <c r="O734" s="69">
        <f t="shared" si="103"/>
        <v>14</v>
      </c>
      <c r="P734">
        <f t="shared" si="107"/>
        <v>84</v>
      </c>
      <c r="Q734" t="str">
        <f t="shared" si="108"/>
        <v xml:space="preserve"> </v>
      </c>
    </row>
    <row r="735" spans="1:17" x14ac:dyDescent="0.25">
      <c r="A735">
        <v>0</v>
      </c>
      <c r="E735">
        <v>735</v>
      </c>
      <c r="G735" t="str">
        <f t="shared" si="104"/>
        <v>7</v>
      </c>
      <c r="H735" t="str">
        <f t="shared" si="105"/>
        <v>3</v>
      </c>
      <c r="I735" t="str">
        <f t="shared" si="106"/>
        <v>5</v>
      </c>
      <c r="K735" t="str">
        <f t="shared" si="109"/>
        <v>7</v>
      </c>
      <c r="L735" t="str">
        <f t="shared" si="110"/>
        <v>3</v>
      </c>
      <c r="M735" t="str">
        <f t="shared" si="111"/>
        <v>5</v>
      </c>
      <c r="O735" s="69">
        <f t="shared" si="103"/>
        <v>15</v>
      </c>
      <c r="P735">
        <f t="shared" si="107"/>
        <v>90</v>
      </c>
      <c r="Q735" t="str">
        <f t="shared" si="108"/>
        <v xml:space="preserve"> </v>
      </c>
    </row>
    <row r="736" spans="1:17" x14ac:dyDescent="0.25">
      <c r="A736">
        <v>0</v>
      </c>
      <c r="E736">
        <v>736</v>
      </c>
      <c r="G736" t="str">
        <f t="shared" si="104"/>
        <v>7</v>
      </c>
      <c r="H736" t="str">
        <f t="shared" si="105"/>
        <v>3</v>
      </c>
      <c r="I736" t="str">
        <f t="shared" si="106"/>
        <v>6</v>
      </c>
      <c r="K736" t="str">
        <f t="shared" si="109"/>
        <v>7</v>
      </c>
      <c r="L736" t="str">
        <f t="shared" si="110"/>
        <v>3</v>
      </c>
      <c r="M736" t="str">
        <f t="shared" si="111"/>
        <v>6</v>
      </c>
      <c r="O736" s="69">
        <f t="shared" si="103"/>
        <v>16</v>
      </c>
      <c r="P736">
        <f t="shared" si="107"/>
        <v>96</v>
      </c>
      <c r="Q736" t="str">
        <f t="shared" si="108"/>
        <v xml:space="preserve"> </v>
      </c>
    </row>
    <row r="737" spans="1:17" x14ac:dyDescent="0.25">
      <c r="A737">
        <v>0</v>
      </c>
      <c r="E737">
        <v>737</v>
      </c>
      <c r="G737" t="str">
        <f t="shared" si="104"/>
        <v>7</v>
      </c>
      <c r="H737" t="str">
        <f t="shared" si="105"/>
        <v>3</v>
      </c>
      <c r="I737" t="str">
        <f t="shared" si="106"/>
        <v>7</v>
      </c>
      <c r="K737" t="str">
        <f t="shared" si="109"/>
        <v>7</v>
      </c>
      <c r="L737" t="str">
        <f t="shared" si="110"/>
        <v>3</v>
      </c>
      <c r="M737" t="str">
        <f t="shared" si="111"/>
        <v>7</v>
      </c>
      <c r="O737" s="69">
        <f t="shared" si="103"/>
        <v>17</v>
      </c>
      <c r="P737">
        <f t="shared" si="107"/>
        <v>102</v>
      </c>
      <c r="Q737" t="str">
        <f t="shared" si="108"/>
        <v xml:space="preserve"> </v>
      </c>
    </row>
    <row r="738" spans="1:17" x14ac:dyDescent="0.25">
      <c r="A738">
        <v>0</v>
      </c>
      <c r="E738">
        <v>738</v>
      </c>
      <c r="G738" t="str">
        <f t="shared" si="104"/>
        <v>7</v>
      </c>
      <c r="H738" t="str">
        <f t="shared" si="105"/>
        <v>3</v>
      </c>
      <c r="I738" t="str">
        <f t="shared" si="106"/>
        <v>8</v>
      </c>
      <c r="K738" t="str">
        <f t="shared" si="109"/>
        <v>7</v>
      </c>
      <c r="L738" t="str">
        <f t="shared" si="110"/>
        <v>3</v>
      </c>
      <c r="M738" t="str">
        <f t="shared" si="111"/>
        <v>8</v>
      </c>
      <c r="O738" s="69">
        <f t="shared" si="103"/>
        <v>18</v>
      </c>
      <c r="P738">
        <f t="shared" si="107"/>
        <v>108</v>
      </c>
      <c r="Q738" t="str">
        <f t="shared" si="108"/>
        <v xml:space="preserve"> </v>
      </c>
    </row>
    <row r="739" spans="1:17" x14ac:dyDescent="0.25">
      <c r="A739">
        <v>0</v>
      </c>
      <c r="E739">
        <v>739</v>
      </c>
      <c r="G739" t="str">
        <f t="shared" si="104"/>
        <v>7</v>
      </c>
      <c r="H739" t="str">
        <f t="shared" si="105"/>
        <v>3</v>
      </c>
      <c r="I739" t="str">
        <f t="shared" si="106"/>
        <v>9</v>
      </c>
      <c r="K739" t="str">
        <f t="shared" si="109"/>
        <v>7</v>
      </c>
      <c r="L739" t="str">
        <f t="shared" si="110"/>
        <v>3</v>
      </c>
      <c r="M739" t="str">
        <f t="shared" si="111"/>
        <v>9</v>
      </c>
      <c r="O739" s="69">
        <f t="shared" si="103"/>
        <v>19</v>
      </c>
      <c r="P739">
        <f t="shared" si="107"/>
        <v>114</v>
      </c>
      <c r="Q739" t="str">
        <f t="shared" si="108"/>
        <v xml:space="preserve"> </v>
      </c>
    </row>
    <row r="740" spans="1:17" x14ac:dyDescent="0.25">
      <c r="A740">
        <v>0</v>
      </c>
      <c r="E740">
        <v>740</v>
      </c>
      <c r="G740" t="str">
        <f t="shared" si="104"/>
        <v>7</v>
      </c>
      <c r="H740" t="str">
        <f t="shared" si="105"/>
        <v>4</v>
      </c>
      <c r="I740" t="str">
        <f t="shared" si="106"/>
        <v>0</v>
      </c>
      <c r="K740" t="str">
        <f t="shared" si="109"/>
        <v>7</v>
      </c>
      <c r="L740" t="str">
        <f t="shared" si="110"/>
        <v>4</v>
      </c>
      <c r="M740" t="str">
        <f t="shared" si="111"/>
        <v>0</v>
      </c>
      <c r="O740" s="69">
        <f t="shared" si="103"/>
        <v>11</v>
      </c>
      <c r="P740">
        <f t="shared" si="107"/>
        <v>66</v>
      </c>
      <c r="Q740" t="str">
        <f t="shared" si="108"/>
        <v xml:space="preserve"> </v>
      </c>
    </row>
    <row r="741" spans="1:17" x14ac:dyDescent="0.25">
      <c r="A741">
        <v>0</v>
      </c>
      <c r="E741">
        <v>741</v>
      </c>
      <c r="G741" t="str">
        <f t="shared" si="104"/>
        <v>7</v>
      </c>
      <c r="H741" t="str">
        <f t="shared" si="105"/>
        <v>4</v>
      </c>
      <c r="I741" t="str">
        <f t="shared" si="106"/>
        <v>1</v>
      </c>
      <c r="K741" t="str">
        <f t="shared" si="109"/>
        <v>7</v>
      </c>
      <c r="L741" t="str">
        <f t="shared" si="110"/>
        <v>4</v>
      </c>
      <c r="M741" t="str">
        <f t="shared" si="111"/>
        <v>1</v>
      </c>
      <c r="O741" s="69">
        <f t="shared" ref="O741:O804" si="112">+K741+L741+M741</f>
        <v>12</v>
      </c>
      <c r="P741">
        <f t="shared" si="107"/>
        <v>72</v>
      </c>
      <c r="Q741" t="str">
        <f t="shared" si="108"/>
        <v xml:space="preserve"> </v>
      </c>
    </row>
    <row r="742" spans="1:17" x14ac:dyDescent="0.25">
      <c r="A742">
        <v>0</v>
      </c>
      <c r="E742">
        <v>742</v>
      </c>
      <c r="G742" t="str">
        <f t="shared" si="104"/>
        <v>7</v>
      </c>
      <c r="H742" t="str">
        <f t="shared" si="105"/>
        <v>4</v>
      </c>
      <c r="I742" t="str">
        <f t="shared" si="106"/>
        <v>2</v>
      </c>
      <c r="K742" t="str">
        <f t="shared" si="109"/>
        <v>7</v>
      </c>
      <c r="L742" t="str">
        <f t="shared" si="110"/>
        <v>4</v>
      </c>
      <c r="M742" t="str">
        <f t="shared" si="111"/>
        <v>2</v>
      </c>
      <c r="O742" s="69">
        <f t="shared" si="112"/>
        <v>13</v>
      </c>
      <c r="P742">
        <f t="shared" si="107"/>
        <v>78</v>
      </c>
      <c r="Q742" t="str">
        <f t="shared" si="108"/>
        <v xml:space="preserve"> </v>
      </c>
    </row>
    <row r="743" spans="1:17" x14ac:dyDescent="0.25">
      <c r="A743">
        <v>0</v>
      </c>
      <c r="E743">
        <v>743</v>
      </c>
      <c r="G743" t="str">
        <f t="shared" si="104"/>
        <v>7</v>
      </c>
      <c r="H743" t="str">
        <f t="shared" si="105"/>
        <v>4</v>
      </c>
      <c r="I743" t="str">
        <f t="shared" si="106"/>
        <v>3</v>
      </c>
      <c r="K743" t="str">
        <f t="shared" si="109"/>
        <v>7</v>
      </c>
      <c r="L743" t="str">
        <f t="shared" si="110"/>
        <v>4</v>
      </c>
      <c r="M743" t="str">
        <f t="shared" si="111"/>
        <v>3</v>
      </c>
      <c r="O743" s="69">
        <f t="shared" si="112"/>
        <v>14</v>
      </c>
      <c r="P743">
        <f t="shared" si="107"/>
        <v>84</v>
      </c>
      <c r="Q743" t="str">
        <f t="shared" si="108"/>
        <v xml:space="preserve"> </v>
      </c>
    </row>
    <row r="744" spans="1:17" x14ac:dyDescent="0.25">
      <c r="A744">
        <v>0</v>
      </c>
      <c r="E744">
        <v>744</v>
      </c>
      <c r="G744" t="str">
        <f t="shared" si="104"/>
        <v>7</v>
      </c>
      <c r="H744" t="str">
        <f t="shared" si="105"/>
        <v>4</v>
      </c>
      <c r="I744" t="str">
        <f t="shared" si="106"/>
        <v>4</v>
      </c>
      <c r="K744" t="str">
        <f t="shared" si="109"/>
        <v>7</v>
      </c>
      <c r="L744" t="str">
        <f t="shared" si="110"/>
        <v>4</v>
      </c>
      <c r="M744" t="str">
        <f t="shared" si="111"/>
        <v>4</v>
      </c>
      <c r="O744" s="69">
        <f t="shared" si="112"/>
        <v>15</v>
      </c>
      <c r="P744">
        <f t="shared" si="107"/>
        <v>90</v>
      </c>
      <c r="Q744" t="str">
        <f t="shared" si="108"/>
        <v xml:space="preserve"> </v>
      </c>
    </row>
    <row r="745" spans="1:17" x14ac:dyDescent="0.25">
      <c r="A745">
        <v>0</v>
      </c>
      <c r="E745">
        <v>745</v>
      </c>
      <c r="G745" t="str">
        <f t="shared" si="104"/>
        <v>7</v>
      </c>
      <c r="H745" t="str">
        <f t="shared" si="105"/>
        <v>4</v>
      </c>
      <c r="I745" t="str">
        <f t="shared" si="106"/>
        <v>5</v>
      </c>
      <c r="K745" t="str">
        <f t="shared" si="109"/>
        <v>7</v>
      </c>
      <c r="L745" t="str">
        <f t="shared" si="110"/>
        <v>4</v>
      </c>
      <c r="M745" t="str">
        <f t="shared" si="111"/>
        <v>5</v>
      </c>
      <c r="O745" s="69">
        <f t="shared" si="112"/>
        <v>16</v>
      </c>
      <c r="P745">
        <f t="shared" si="107"/>
        <v>96</v>
      </c>
      <c r="Q745" t="str">
        <f t="shared" si="108"/>
        <v xml:space="preserve"> </v>
      </c>
    </row>
    <row r="746" spans="1:17" x14ac:dyDescent="0.25">
      <c r="A746">
        <v>0</v>
      </c>
      <c r="E746">
        <v>746</v>
      </c>
      <c r="G746" t="str">
        <f t="shared" si="104"/>
        <v>7</v>
      </c>
      <c r="H746" t="str">
        <f t="shared" si="105"/>
        <v>4</v>
      </c>
      <c r="I746" t="str">
        <f t="shared" si="106"/>
        <v>6</v>
      </c>
      <c r="K746" t="str">
        <f t="shared" si="109"/>
        <v>7</v>
      </c>
      <c r="L746" t="str">
        <f t="shared" si="110"/>
        <v>4</v>
      </c>
      <c r="M746" t="str">
        <f t="shared" si="111"/>
        <v>6</v>
      </c>
      <c r="O746" s="69">
        <f t="shared" si="112"/>
        <v>17</v>
      </c>
      <c r="P746">
        <f t="shared" si="107"/>
        <v>102</v>
      </c>
      <c r="Q746" t="str">
        <f t="shared" si="108"/>
        <v xml:space="preserve"> </v>
      </c>
    </row>
    <row r="747" spans="1:17" x14ac:dyDescent="0.25">
      <c r="A747">
        <v>0</v>
      </c>
      <c r="E747">
        <v>747</v>
      </c>
      <c r="G747" t="str">
        <f t="shared" si="104"/>
        <v>7</v>
      </c>
      <c r="H747" t="str">
        <f t="shared" si="105"/>
        <v>4</v>
      </c>
      <c r="I747" t="str">
        <f t="shared" si="106"/>
        <v>7</v>
      </c>
      <c r="K747" t="str">
        <f t="shared" si="109"/>
        <v>7</v>
      </c>
      <c r="L747" t="str">
        <f t="shared" si="110"/>
        <v>4</v>
      </c>
      <c r="M747" t="str">
        <f t="shared" si="111"/>
        <v>7</v>
      </c>
      <c r="O747" s="69">
        <f t="shared" si="112"/>
        <v>18</v>
      </c>
      <c r="P747">
        <f t="shared" si="107"/>
        <v>108</v>
      </c>
      <c r="Q747" t="str">
        <f t="shared" si="108"/>
        <v xml:space="preserve"> </v>
      </c>
    </row>
    <row r="748" spans="1:17" x14ac:dyDescent="0.25">
      <c r="A748">
        <v>0</v>
      </c>
      <c r="E748">
        <v>748</v>
      </c>
      <c r="G748" t="str">
        <f t="shared" si="104"/>
        <v>7</v>
      </c>
      <c r="H748" t="str">
        <f t="shared" si="105"/>
        <v>4</v>
      </c>
      <c r="I748" t="str">
        <f t="shared" si="106"/>
        <v>8</v>
      </c>
      <c r="K748" t="str">
        <f t="shared" si="109"/>
        <v>7</v>
      </c>
      <c r="L748" t="str">
        <f t="shared" si="110"/>
        <v>4</v>
      </c>
      <c r="M748" t="str">
        <f t="shared" si="111"/>
        <v>8</v>
      </c>
      <c r="O748" s="69">
        <f t="shared" si="112"/>
        <v>19</v>
      </c>
      <c r="P748">
        <f t="shared" si="107"/>
        <v>114</v>
      </c>
      <c r="Q748" t="str">
        <f t="shared" si="108"/>
        <v xml:space="preserve"> </v>
      </c>
    </row>
    <row r="749" spans="1:17" x14ac:dyDescent="0.25">
      <c r="A749">
        <v>0</v>
      </c>
      <c r="E749">
        <v>749</v>
      </c>
      <c r="G749" t="str">
        <f t="shared" si="104"/>
        <v>7</v>
      </c>
      <c r="H749" t="str">
        <f t="shared" si="105"/>
        <v>4</v>
      </c>
      <c r="I749" t="str">
        <f t="shared" si="106"/>
        <v>9</v>
      </c>
      <c r="K749" t="str">
        <f t="shared" si="109"/>
        <v>7</v>
      </c>
      <c r="L749" t="str">
        <f t="shared" si="110"/>
        <v>4</v>
      </c>
      <c r="M749" t="str">
        <f t="shared" si="111"/>
        <v>9</v>
      </c>
      <c r="O749" s="69">
        <f t="shared" si="112"/>
        <v>20</v>
      </c>
      <c r="P749">
        <f t="shared" si="107"/>
        <v>120</v>
      </c>
      <c r="Q749" t="str">
        <f t="shared" si="108"/>
        <v xml:space="preserve"> </v>
      </c>
    </row>
    <row r="750" spans="1:17" x14ac:dyDescent="0.25">
      <c r="A750">
        <v>0</v>
      </c>
      <c r="E750">
        <v>750</v>
      </c>
      <c r="G750" t="str">
        <f t="shared" si="104"/>
        <v>7</v>
      </c>
      <c r="H750" t="str">
        <f t="shared" si="105"/>
        <v>5</v>
      </c>
      <c r="I750" t="str">
        <f t="shared" si="106"/>
        <v>0</v>
      </c>
      <c r="K750" t="str">
        <f t="shared" si="109"/>
        <v>7</v>
      </c>
      <c r="L750" t="str">
        <f t="shared" si="110"/>
        <v>5</v>
      </c>
      <c r="M750" t="str">
        <f t="shared" si="111"/>
        <v>0</v>
      </c>
      <c r="O750" s="69">
        <f t="shared" si="112"/>
        <v>12</v>
      </c>
      <c r="P750">
        <f t="shared" si="107"/>
        <v>72</v>
      </c>
      <c r="Q750" t="str">
        <f t="shared" si="108"/>
        <v xml:space="preserve"> </v>
      </c>
    </row>
    <row r="751" spans="1:17" x14ac:dyDescent="0.25">
      <c r="A751">
        <v>0</v>
      </c>
      <c r="E751">
        <v>751</v>
      </c>
      <c r="G751" t="str">
        <f t="shared" si="104"/>
        <v>7</v>
      </c>
      <c r="H751" t="str">
        <f t="shared" si="105"/>
        <v>5</v>
      </c>
      <c r="I751" t="str">
        <f t="shared" si="106"/>
        <v>1</v>
      </c>
      <c r="K751" t="str">
        <f t="shared" si="109"/>
        <v>7</v>
      </c>
      <c r="L751" t="str">
        <f t="shared" si="110"/>
        <v>5</v>
      </c>
      <c r="M751" t="str">
        <f t="shared" si="111"/>
        <v>1</v>
      </c>
      <c r="O751" s="69">
        <f t="shared" si="112"/>
        <v>13</v>
      </c>
      <c r="P751">
        <f t="shared" si="107"/>
        <v>78</v>
      </c>
      <c r="Q751" t="str">
        <f t="shared" si="108"/>
        <v xml:space="preserve"> </v>
      </c>
    </row>
    <row r="752" spans="1:17" x14ac:dyDescent="0.25">
      <c r="A752">
        <v>0</v>
      </c>
      <c r="E752">
        <v>752</v>
      </c>
      <c r="G752" t="str">
        <f t="shared" si="104"/>
        <v>7</v>
      </c>
      <c r="H752" t="str">
        <f t="shared" si="105"/>
        <v>5</v>
      </c>
      <c r="I752" t="str">
        <f t="shared" si="106"/>
        <v>2</v>
      </c>
      <c r="K752" t="str">
        <f t="shared" si="109"/>
        <v>7</v>
      </c>
      <c r="L752" t="str">
        <f t="shared" si="110"/>
        <v>5</v>
      </c>
      <c r="M752" t="str">
        <f t="shared" si="111"/>
        <v>2</v>
      </c>
      <c r="O752" s="69">
        <f t="shared" si="112"/>
        <v>14</v>
      </c>
      <c r="P752">
        <f t="shared" si="107"/>
        <v>84</v>
      </c>
      <c r="Q752" t="str">
        <f t="shared" si="108"/>
        <v xml:space="preserve"> </v>
      </c>
    </row>
    <row r="753" spans="1:17" x14ac:dyDescent="0.25">
      <c r="A753">
        <v>0</v>
      </c>
      <c r="E753">
        <v>753</v>
      </c>
      <c r="G753" t="str">
        <f t="shared" si="104"/>
        <v>7</v>
      </c>
      <c r="H753" t="str">
        <f t="shared" si="105"/>
        <v>5</v>
      </c>
      <c r="I753" t="str">
        <f t="shared" si="106"/>
        <v>3</v>
      </c>
      <c r="K753" t="str">
        <f t="shared" si="109"/>
        <v>7</v>
      </c>
      <c r="L753" t="str">
        <f t="shared" si="110"/>
        <v>5</v>
      </c>
      <c r="M753" t="str">
        <f t="shared" si="111"/>
        <v>3</v>
      </c>
      <c r="O753" s="69">
        <f t="shared" si="112"/>
        <v>15</v>
      </c>
      <c r="P753">
        <f t="shared" si="107"/>
        <v>90</v>
      </c>
      <c r="Q753" t="str">
        <f t="shared" si="108"/>
        <v xml:space="preserve"> </v>
      </c>
    </row>
    <row r="754" spans="1:17" x14ac:dyDescent="0.25">
      <c r="A754">
        <v>0</v>
      </c>
      <c r="E754">
        <v>754</v>
      </c>
      <c r="G754" t="str">
        <f t="shared" si="104"/>
        <v>7</v>
      </c>
      <c r="H754" t="str">
        <f t="shared" si="105"/>
        <v>5</v>
      </c>
      <c r="I754" t="str">
        <f t="shared" si="106"/>
        <v>4</v>
      </c>
      <c r="K754" t="str">
        <f t="shared" si="109"/>
        <v>7</v>
      </c>
      <c r="L754" t="str">
        <f t="shared" si="110"/>
        <v>5</v>
      </c>
      <c r="M754" t="str">
        <f t="shared" si="111"/>
        <v>4</v>
      </c>
      <c r="O754" s="69">
        <f t="shared" si="112"/>
        <v>16</v>
      </c>
      <c r="P754">
        <f t="shared" si="107"/>
        <v>96</v>
      </c>
      <c r="Q754" t="str">
        <f t="shared" si="108"/>
        <v xml:space="preserve"> </v>
      </c>
    </row>
    <row r="755" spans="1:17" x14ac:dyDescent="0.25">
      <c r="A755">
        <v>0</v>
      </c>
      <c r="E755">
        <v>755</v>
      </c>
      <c r="G755" t="str">
        <f t="shared" si="104"/>
        <v>7</v>
      </c>
      <c r="H755" t="str">
        <f t="shared" si="105"/>
        <v>5</v>
      </c>
      <c r="I755" t="str">
        <f t="shared" si="106"/>
        <v>5</v>
      </c>
      <c r="K755" t="str">
        <f t="shared" si="109"/>
        <v>7</v>
      </c>
      <c r="L755" t="str">
        <f t="shared" si="110"/>
        <v>5</v>
      </c>
      <c r="M755" t="str">
        <f t="shared" si="111"/>
        <v>5</v>
      </c>
      <c r="O755" s="69">
        <f t="shared" si="112"/>
        <v>17</v>
      </c>
      <c r="P755">
        <f t="shared" si="107"/>
        <v>102</v>
      </c>
      <c r="Q755" t="str">
        <f t="shared" si="108"/>
        <v xml:space="preserve"> </v>
      </c>
    </row>
    <row r="756" spans="1:17" x14ac:dyDescent="0.25">
      <c r="A756">
        <v>0</v>
      </c>
      <c r="E756">
        <v>756</v>
      </c>
      <c r="G756" t="str">
        <f t="shared" si="104"/>
        <v>7</v>
      </c>
      <c r="H756" t="str">
        <f t="shared" si="105"/>
        <v>5</v>
      </c>
      <c r="I756" t="str">
        <f t="shared" si="106"/>
        <v>6</v>
      </c>
      <c r="K756" t="str">
        <f t="shared" si="109"/>
        <v>7</v>
      </c>
      <c r="L756" t="str">
        <f t="shared" si="110"/>
        <v>5</v>
      </c>
      <c r="M756" t="str">
        <f t="shared" si="111"/>
        <v>6</v>
      </c>
      <c r="O756" s="69">
        <f t="shared" si="112"/>
        <v>18</v>
      </c>
      <c r="P756">
        <f t="shared" si="107"/>
        <v>108</v>
      </c>
      <c r="Q756" t="str">
        <f t="shared" si="108"/>
        <v xml:space="preserve"> </v>
      </c>
    </row>
    <row r="757" spans="1:17" x14ac:dyDescent="0.25">
      <c r="A757">
        <v>0</v>
      </c>
      <c r="E757">
        <v>757</v>
      </c>
      <c r="G757" t="str">
        <f t="shared" si="104"/>
        <v>7</v>
      </c>
      <c r="H757" t="str">
        <f t="shared" si="105"/>
        <v>5</v>
      </c>
      <c r="I757" t="str">
        <f t="shared" si="106"/>
        <v>7</v>
      </c>
      <c r="K757" t="str">
        <f t="shared" si="109"/>
        <v>7</v>
      </c>
      <c r="L757" t="str">
        <f t="shared" si="110"/>
        <v>5</v>
      </c>
      <c r="M757" t="str">
        <f t="shared" si="111"/>
        <v>7</v>
      </c>
      <c r="O757" s="69">
        <f t="shared" si="112"/>
        <v>19</v>
      </c>
      <c r="P757">
        <f t="shared" si="107"/>
        <v>114</v>
      </c>
      <c r="Q757" t="str">
        <f t="shared" si="108"/>
        <v xml:space="preserve"> </v>
      </c>
    </row>
    <row r="758" spans="1:17" x14ac:dyDescent="0.25">
      <c r="A758">
        <v>0</v>
      </c>
      <c r="E758">
        <v>758</v>
      </c>
      <c r="G758" t="str">
        <f t="shared" si="104"/>
        <v>7</v>
      </c>
      <c r="H758" t="str">
        <f t="shared" si="105"/>
        <v>5</v>
      </c>
      <c r="I758" t="str">
        <f t="shared" si="106"/>
        <v>8</v>
      </c>
      <c r="K758" t="str">
        <f t="shared" si="109"/>
        <v>7</v>
      </c>
      <c r="L758" t="str">
        <f t="shared" si="110"/>
        <v>5</v>
      </c>
      <c r="M758" t="str">
        <f t="shared" si="111"/>
        <v>8</v>
      </c>
      <c r="O758" s="69">
        <f t="shared" si="112"/>
        <v>20</v>
      </c>
      <c r="P758">
        <f t="shared" si="107"/>
        <v>120</v>
      </c>
      <c r="Q758" t="str">
        <f t="shared" si="108"/>
        <v xml:space="preserve"> </v>
      </c>
    </row>
    <row r="759" spans="1:17" x14ac:dyDescent="0.25">
      <c r="A759">
        <v>0</v>
      </c>
      <c r="E759">
        <v>759</v>
      </c>
      <c r="G759" t="str">
        <f t="shared" si="104"/>
        <v>7</v>
      </c>
      <c r="H759" t="str">
        <f t="shared" si="105"/>
        <v>5</v>
      </c>
      <c r="I759" t="str">
        <f t="shared" si="106"/>
        <v>9</v>
      </c>
      <c r="K759" t="str">
        <f t="shared" si="109"/>
        <v>7</v>
      </c>
      <c r="L759" t="str">
        <f t="shared" si="110"/>
        <v>5</v>
      </c>
      <c r="M759" t="str">
        <f t="shared" si="111"/>
        <v>9</v>
      </c>
      <c r="O759" s="69">
        <f t="shared" si="112"/>
        <v>21</v>
      </c>
      <c r="P759">
        <f t="shared" si="107"/>
        <v>126</v>
      </c>
      <c r="Q759" t="str">
        <f t="shared" si="108"/>
        <v xml:space="preserve"> </v>
      </c>
    </row>
    <row r="760" spans="1:17" x14ac:dyDescent="0.25">
      <c r="A760">
        <v>0</v>
      </c>
      <c r="E760">
        <v>760</v>
      </c>
      <c r="G760" t="str">
        <f t="shared" si="104"/>
        <v>7</v>
      </c>
      <c r="H760" t="str">
        <f t="shared" si="105"/>
        <v>6</v>
      </c>
      <c r="I760" t="str">
        <f t="shared" si="106"/>
        <v>0</v>
      </c>
      <c r="K760" t="str">
        <f t="shared" si="109"/>
        <v>7</v>
      </c>
      <c r="L760" t="str">
        <f t="shared" si="110"/>
        <v>6</v>
      </c>
      <c r="M760" t="str">
        <f t="shared" si="111"/>
        <v>0</v>
      </c>
      <c r="O760" s="69">
        <f t="shared" si="112"/>
        <v>13</v>
      </c>
      <c r="P760">
        <f t="shared" si="107"/>
        <v>78</v>
      </c>
      <c r="Q760" t="str">
        <f t="shared" si="108"/>
        <v xml:space="preserve"> </v>
      </c>
    </row>
    <row r="761" spans="1:17" x14ac:dyDescent="0.25">
      <c r="A761">
        <v>0</v>
      </c>
      <c r="E761">
        <v>761</v>
      </c>
      <c r="G761" t="str">
        <f t="shared" si="104"/>
        <v>7</v>
      </c>
      <c r="H761" t="str">
        <f t="shared" si="105"/>
        <v>6</v>
      </c>
      <c r="I761" t="str">
        <f t="shared" si="106"/>
        <v>1</v>
      </c>
      <c r="K761" t="str">
        <f t="shared" si="109"/>
        <v>7</v>
      </c>
      <c r="L761" t="str">
        <f t="shared" si="110"/>
        <v>6</v>
      </c>
      <c r="M761" t="str">
        <f t="shared" si="111"/>
        <v>1</v>
      </c>
      <c r="O761" s="69">
        <f t="shared" si="112"/>
        <v>14</v>
      </c>
      <c r="P761">
        <f t="shared" si="107"/>
        <v>84</v>
      </c>
      <c r="Q761" t="str">
        <f t="shared" si="108"/>
        <v xml:space="preserve"> </v>
      </c>
    </row>
    <row r="762" spans="1:17" x14ac:dyDescent="0.25">
      <c r="A762">
        <v>0</v>
      </c>
      <c r="E762">
        <v>762</v>
      </c>
      <c r="G762" t="str">
        <f t="shared" si="104"/>
        <v>7</v>
      </c>
      <c r="H762" t="str">
        <f t="shared" si="105"/>
        <v>6</v>
      </c>
      <c r="I762" t="str">
        <f t="shared" si="106"/>
        <v>2</v>
      </c>
      <c r="K762" t="str">
        <f t="shared" si="109"/>
        <v>7</v>
      </c>
      <c r="L762" t="str">
        <f t="shared" si="110"/>
        <v>6</v>
      </c>
      <c r="M762" t="str">
        <f t="shared" si="111"/>
        <v>2</v>
      </c>
      <c r="O762" s="69">
        <f t="shared" si="112"/>
        <v>15</v>
      </c>
      <c r="P762">
        <f t="shared" si="107"/>
        <v>90</v>
      </c>
      <c r="Q762" t="str">
        <f t="shared" si="108"/>
        <v xml:space="preserve"> </v>
      </c>
    </row>
    <row r="763" spans="1:17" x14ac:dyDescent="0.25">
      <c r="A763">
        <v>0</v>
      </c>
      <c r="E763">
        <v>763</v>
      </c>
      <c r="G763" t="str">
        <f t="shared" si="104"/>
        <v>7</v>
      </c>
      <c r="H763" t="str">
        <f t="shared" si="105"/>
        <v>6</v>
      </c>
      <c r="I763" t="str">
        <f t="shared" si="106"/>
        <v>3</v>
      </c>
      <c r="K763" t="str">
        <f t="shared" si="109"/>
        <v>7</v>
      </c>
      <c r="L763" t="str">
        <f t="shared" si="110"/>
        <v>6</v>
      </c>
      <c r="M763" t="str">
        <f t="shared" si="111"/>
        <v>3</v>
      </c>
      <c r="O763" s="69">
        <f t="shared" si="112"/>
        <v>16</v>
      </c>
      <c r="P763">
        <f t="shared" si="107"/>
        <v>96</v>
      </c>
      <c r="Q763" t="str">
        <f t="shared" si="108"/>
        <v xml:space="preserve"> </v>
      </c>
    </row>
    <row r="764" spans="1:17" x14ac:dyDescent="0.25">
      <c r="A764">
        <v>0</v>
      </c>
      <c r="E764">
        <v>764</v>
      </c>
      <c r="G764" t="str">
        <f t="shared" si="104"/>
        <v>7</v>
      </c>
      <c r="H764" t="str">
        <f t="shared" si="105"/>
        <v>6</v>
      </c>
      <c r="I764" t="str">
        <f t="shared" si="106"/>
        <v>4</v>
      </c>
      <c r="K764" t="str">
        <f t="shared" si="109"/>
        <v>7</v>
      </c>
      <c r="L764" t="str">
        <f t="shared" si="110"/>
        <v>6</v>
      </c>
      <c r="M764" t="str">
        <f t="shared" si="111"/>
        <v>4</v>
      </c>
      <c r="O764" s="69">
        <f t="shared" si="112"/>
        <v>17</v>
      </c>
      <c r="P764">
        <f t="shared" si="107"/>
        <v>102</v>
      </c>
      <c r="Q764" t="str">
        <f t="shared" si="108"/>
        <v xml:space="preserve"> </v>
      </c>
    </row>
    <row r="765" spans="1:17" x14ac:dyDescent="0.25">
      <c r="A765">
        <v>0</v>
      </c>
      <c r="E765">
        <v>765</v>
      </c>
      <c r="G765" t="str">
        <f t="shared" si="104"/>
        <v>7</v>
      </c>
      <c r="H765" t="str">
        <f t="shared" si="105"/>
        <v>6</v>
      </c>
      <c r="I765" t="str">
        <f t="shared" si="106"/>
        <v>5</v>
      </c>
      <c r="K765" t="str">
        <f t="shared" si="109"/>
        <v>7</v>
      </c>
      <c r="L765" t="str">
        <f t="shared" si="110"/>
        <v>6</v>
      </c>
      <c r="M765" t="str">
        <f t="shared" si="111"/>
        <v>5</v>
      </c>
      <c r="O765" s="69">
        <f t="shared" si="112"/>
        <v>18</v>
      </c>
      <c r="P765">
        <f t="shared" si="107"/>
        <v>108</v>
      </c>
      <c r="Q765" t="str">
        <f t="shared" si="108"/>
        <v xml:space="preserve"> </v>
      </c>
    </row>
    <row r="766" spans="1:17" x14ac:dyDescent="0.25">
      <c r="A766">
        <v>0</v>
      </c>
      <c r="E766">
        <v>766</v>
      </c>
      <c r="G766" t="str">
        <f t="shared" si="104"/>
        <v>7</v>
      </c>
      <c r="H766" t="str">
        <f t="shared" si="105"/>
        <v>6</v>
      </c>
      <c r="I766" t="str">
        <f t="shared" si="106"/>
        <v>6</v>
      </c>
      <c r="K766" t="str">
        <f t="shared" si="109"/>
        <v>7</v>
      </c>
      <c r="L766" t="str">
        <f t="shared" si="110"/>
        <v>6</v>
      </c>
      <c r="M766" t="str">
        <f t="shared" si="111"/>
        <v>6</v>
      </c>
      <c r="O766" s="69">
        <f t="shared" si="112"/>
        <v>19</v>
      </c>
      <c r="P766">
        <f t="shared" si="107"/>
        <v>114</v>
      </c>
      <c r="Q766" t="str">
        <f t="shared" si="108"/>
        <v xml:space="preserve"> </v>
      </c>
    </row>
    <row r="767" spans="1:17" x14ac:dyDescent="0.25">
      <c r="A767">
        <v>0</v>
      </c>
      <c r="E767">
        <v>767</v>
      </c>
      <c r="G767" t="str">
        <f t="shared" si="104"/>
        <v>7</v>
      </c>
      <c r="H767" t="str">
        <f t="shared" si="105"/>
        <v>6</v>
      </c>
      <c r="I767" t="str">
        <f t="shared" si="106"/>
        <v>7</v>
      </c>
      <c r="K767" t="str">
        <f t="shared" si="109"/>
        <v>7</v>
      </c>
      <c r="L767" t="str">
        <f t="shared" si="110"/>
        <v>6</v>
      </c>
      <c r="M767" t="str">
        <f t="shared" si="111"/>
        <v>7</v>
      </c>
      <c r="O767" s="69">
        <f t="shared" si="112"/>
        <v>20</v>
      </c>
      <c r="P767">
        <f t="shared" si="107"/>
        <v>120</v>
      </c>
      <c r="Q767" t="str">
        <f t="shared" si="108"/>
        <v xml:space="preserve"> </v>
      </c>
    </row>
    <row r="768" spans="1:17" x14ac:dyDescent="0.25">
      <c r="A768">
        <v>0</v>
      </c>
      <c r="E768">
        <v>768</v>
      </c>
      <c r="G768" t="str">
        <f t="shared" si="104"/>
        <v>7</v>
      </c>
      <c r="H768" t="str">
        <f t="shared" si="105"/>
        <v>6</v>
      </c>
      <c r="I768" t="str">
        <f t="shared" si="106"/>
        <v>8</v>
      </c>
      <c r="K768" t="str">
        <f t="shared" si="109"/>
        <v>7</v>
      </c>
      <c r="L768" t="str">
        <f t="shared" si="110"/>
        <v>6</v>
      </c>
      <c r="M768" t="str">
        <f t="shared" si="111"/>
        <v>8</v>
      </c>
      <c r="O768" s="69">
        <f t="shared" si="112"/>
        <v>21</v>
      </c>
      <c r="P768">
        <f t="shared" si="107"/>
        <v>126</v>
      </c>
      <c r="Q768" t="str">
        <f t="shared" si="108"/>
        <v xml:space="preserve"> </v>
      </c>
    </row>
    <row r="769" spans="1:17" x14ac:dyDescent="0.25">
      <c r="A769">
        <v>0</v>
      </c>
      <c r="E769">
        <v>769</v>
      </c>
      <c r="G769" t="str">
        <f t="shared" si="104"/>
        <v>7</v>
      </c>
      <c r="H769" t="str">
        <f t="shared" si="105"/>
        <v>6</v>
      </c>
      <c r="I769" t="str">
        <f t="shared" si="106"/>
        <v>9</v>
      </c>
      <c r="K769" t="str">
        <f t="shared" si="109"/>
        <v>7</v>
      </c>
      <c r="L769" t="str">
        <f t="shared" si="110"/>
        <v>6</v>
      </c>
      <c r="M769" t="str">
        <f t="shared" si="111"/>
        <v>9</v>
      </c>
      <c r="O769" s="69">
        <f t="shared" si="112"/>
        <v>22</v>
      </c>
      <c r="P769">
        <f t="shared" si="107"/>
        <v>132</v>
      </c>
      <c r="Q769" t="str">
        <f t="shared" si="108"/>
        <v xml:space="preserve"> </v>
      </c>
    </row>
    <row r="770" spans="1:17" x14ac:dyDescent="0.25">
      <c r="A770">
        <v>0</v>
      </c>
      <c r="E770">
        <v>770</v>
      </c>
      <c r="G770" t="str">
        <f t="shared" ref="G770:G833" si="113">+MID(E770,1,1)</f>
        <v>7</v>
      </c>
      <c r="H770" t="str">
        <f t="shared" ref="H770:H833" si="114">+MID(E770,2,1)</f>
        <v>7</v>
      </c>
      <c r="I770" t="str">
        <f t="shared" ref="I770:I833" si="115">+MID(E770,3,1)</f>
        <v>0</v>
      </c>
      <c r="K770" t="str">
        <f t="shared" si="109"/>
        <v>7</v>
      </c>
      <c r="L770" t="str">
        <f t="shared" si="110"/>
        <v>7</v>
      </c>
      <c r="M770" t="str">
        <f t="shared" si="111"/>
        <v>0</v>
      </c>
      <c r="O770" s="69">
        <f t="shared" si="112"/>
        <v>14</v>
      </c>
      <c r="P770">
        <f t="shared" ref="P770:P833" si="116">+O770*6</f>
        <v>84</v>
      </c>
      <c r="Q770" t="str">
        <f t="shared" ref="Q770:Q833" si="117">+IF(P770=E770,"OK"," ")</f>
        <v xml:space="preserve"> </v>
      </c>
    </row>
    <row r="771" spans="1:17" x14ac:dyDescent="0.25">
      <c r="A771">
        <v>0</v>
      </c>
      <c r="E771">
        <v>771</v>
      </c>
      <c r="G771" t="str">
        <f t="shared" si="113"/>
        <v>7</v>
      </c>
      <c r="H771" t="str">
        <f t="shared" si="114"/>
        <v>7</v>
      </c>
      <c r="I771" t="str">
        <f t="shared" si="115"/>
        <v>1</v>
      </c>
      <c r="K771" t="str">
        <f t="shared" si="109"/>
        <v>7</v>
      </c>
      <c r="L771" t="str">
        <f t="shared" si="110"/>
        <v>7</v>
      </c>
      <c r="M771" t="str">
        <f t="shared" si="111"/>
        <v>1</v>
      </c>
      <c r="O771" s="69">
        <f t="shared" si="112"/>
        <v>15</v>
      </c>
      <c r="P771">
        <f t="shared" si="116"/>
        <v>90</v>
      </c>
      <c r="Q771" t="str">
        <f t="shared" si="117"/>
        <v xml:space="preserve"> </v>
      </c>
    </row>
    <row r="772" spans="1:17" x14ac:dyDescent="0.25">
      <c r="A772">
        <v>0</v>
      </c>
      <c r="E772">
        <v>772</v>
      </c>
      <c r="G772" t="str">
        <f t="shared" si="113"/>
        <v>7</v>
      </c>
      <c r="H772" t="str">
        <f t="shared" si="114"/>
        <v>7</v>
      </c>
      <c r="I772" t="str">
        <f t="shared" si="115"/>
        <v>2</v>
      </c>
      <c r="K772" t="str">
        <f t="shared" si="109"/>
        <v>7</v>
      </c>
      <c r="L772" t="str">
        <f t="shared" si="110"/>
        <v>7</v>
      </c>
      <c r="M772" t="str">
        <f t="shared" si="111"/>
        <v>2</v>
      </c>
      <c r="O772" s="69">
        <f t="shared" si="112"/>
        <v>16</v>
      </c>
      <c r="P772">
        <f t="shared" si="116"/>
        <v>96</v>
      </c>
      <c r="Q772" t="str">
        <f t="shared" si="117"/>
        <v xml:space="preserve"> </v>
      </c>
    </row>
    <row r="773" spans="1:17" x14ac:dyDescent="0.25">
      <c r="A773">
        <v>0</v>
      </c>
      <c r="E773">
        <v>773</v>
      </c>
      <c r="G773" t="str">
        <f t="shared" si="113"/>
        <v>7</v>
      </c>
      <c r="H773" t="str">
        <f t="shared" si="114"/>
        <v>7</v>
      </c>
      <c r="I773" t="str">
        <f t="shared" si="115"/>
        <v>3</v>
      </c>
      <c r="K773" t="str">
        <f t="shared" si="109"/>
        <v>7</v>
      </c>
      <c r="L773" t="str">
        <f t="shared" si="110"/>
        <v>7</v>
      </c>
      <c r="M773" t="str">
        <f t="shared" si="111"/>
        <v>3</v>
      </c>
      <c r="O773" s="69">
        <f t="shared" si="112"/>
        <v>17</v>
      </c>
      <c r="P773">
        <f t="shared" si="116"/>
        <v>102</v>
      </c>
      <c r="Q773" t="str">
        <f t="shared" si="117"/>
        <v xml:space="preserve"> </v>
      </c>
    </row>
    <row r="774" spans="1:17" x14ac:dyDescent="0.25">
      <c r="A774">
        <v>0</v>
      </c>
      <c r="E774">
        <v>774</v>
      </c>
      <c r="G774" t="str">
        <f t="shared" si="113"/>
        <v>7</v>
      </c>
      <c r="H774" t="str">
        <f t="shared" si="114"/>
        <v>7</v>
      </c>
      <c r="I774" t="str">
        <f t="shared" si="115"/>
        <v>4</v>
      </c>
      <c r="K774" t="str">
        <f t="shared" si="109"/>
        <v>7</v>
      </c>
      <c r="L774" t="str">
        <f t="shared" si="110"/>
        <v>7</v>
      </c>
      <c r="M774" t="str">
        <f t="shared" si="111"/>
        <v>4</v>
      </c>
      <c r="O774" s="69">
        <f t="shared" si="112"/>
        <v>18</v>
      </c>
      <c r="P774">
        <f t="shared" si="116"/>
        <v>108</v>
      </c>
      <c r="Q774" t="str">
        <f t="shared" si="117"/>
        <v xml:space="preserve"> </v>
      </c>
    </row>
    <row r="775" spans="1:17" x14ac:dyDescent="0.25">
      <c r="A775">
        <v>0</v>
      </c>
      <c r="E775">
        <v>775</v>
      </c>
      <c r="G775" t="str">
        <f t="shared" si="113"/>
        <v>7</v>
      </c>
      <c r="H775" t="str">
        <f t="shared" si="114"/>
        <v>7</v>
      </c>
      <c r="I775" t="str">
        <f t="shared" si="115"/>
        <v>5</v>
      </c>
      <c r="K775" t="str">
        <f t="shared" si="109"/>
        <v>7</v>
      </c>
      <c r="L775" t="str">
        <f t="shared" si="110"/>
        <v>7</v>
      </c>
      <c r="M775" t="str">
        <f t="shared" si="111"/>
        <v>5</v>
      </c>
      <c r="O775" s="69">
        <f t="shared" si="112"/>
        <v>19</v>
      </c>
      <c r="P775">
        <f t="shared" si="116"/>
        <v>114</v>
      </c>
      <c r="Q775" t="str">
        <f t="shared" si="117"/>
        <v xml:space="preserve"> </v>
      </c>
    </row>
    <row r="776" spans="1:17" x14ac:dyDescent="0.25">
      <c r="A776">
        <v>0</v>
      </c>
      <c r="E776">
        <v>776</v>
      </c>
      <c r="G776" t="str">
        <f t="shared" si="113"/>
        <v>7</v>
      </c>
      <c r="H776" t="str">
        <f t="shared" si="114"/>
        <v>7</v>
      </c>
      <c r="I776" t="str">
        <f t="shared" si="115"/>
        <v>6</v>
      </c>
      <c r="K776" t="str">
        <f t="shared" si="109"/>
        <v>7</v>
      </c>
      <c r="L776" t="str">
        <f t="shared" si="110"/>
        <v>7</v>
      </c>
      <c r="M776" t="str">
        <f t="shared" si="111"/>
        <v>6</v>
      </c>
      <c r="O776" s="69">
        <f t="shared" si="112"/>
        <v>20</v>
      </c>
      <c r="P776">
        <f t="shared" si="116"/>
        <v>120</v>
      </c>
      <c r="Q776" t="str">
        <f t="shared" si="117"/>
        <v xml:space="preserve"> </v>
      </c>
    </row>
    <row r="777" spans="1:17" x14ac:dyDescent="0.25">
      <c r="A777">
        <v>0</v>
      </c>
      <c r="E777">
        <v>777</v>
      </c>
      <c r="G777" t="str">
        <f t="shared" si="113"/>
        <v>7</v>
      </c>
      <c r="H777" t="str">
        <f t="shared" si="114"/>
        <v>7</v>
      </c>
      <c r="I777" t="str">
        <f t="shared" si="115"/>
        <v>7</v>
      </c>
      <c r="K777" t="str">
        <f t="shared" si="109"/>
        <v>7</v>
      </c>
      <c r="L777" t="str">
        <f t="shared" si="110"/>
        <v>7</v>
      </c>
      <c r="M777" t="str">
        <f t="shared" si="111"/>
        <v>7</v>
      </c>
      <c r="O777" s="69">
        <f t="shared" si="112"/>
        <v>21</v>
      </c>
      <c r="P777">
        <f t="shared" si="116"/>
        <v>126</v>
      </c>
      <c r="Q777" t="str">
        <f t="shared" si="117"/>
        <v xml:space="preserve"> </v>
      </c>
    </row>
    <row r="778" spans="1:17" x14ac:dyDescent="0.25">
      <c r="A778">
        <v>0</v>
      </c>
      <c r="E778">
        <v>778</v>
      </c>
      <c r="G778" t="str">
        <f t="shared" si="113"/>
        <v>7</v>
      </c>
      <c r="H778" t="str">
        <f t="shared" si="114"/>
        <v>7</v>
      </c>
      <c r="I778" t="str">
        <f t="shared" si="115"/>
        <v>8</v>
      </c>
      <c r="K778" t="str">
        <f t="shared" si="109"/>
        <v>7</v>
      </c>
      <c r="L778" t="str">
        <f t="shared" si="110"/>
        <v>7</v>
      </c>
      <c r="M778" t="str">
        <f t="shared" si="111"/>
        <v>8</v>
      </c>
      <c r="O778" s="69">
        <f t="shared" si="112"/>
        <v>22</v>
      </c>
      <c r="P778">
        <f t="shared" si="116"/>
        <v>132</v>
      </c>
      <c r="Q778" t="str">
        <f t="shared" si="117"/>
        <v xml:space="preserve"> </v>
      </c>
    </row>
    <row r="779" spans="1:17" x14ac:dyDescent="0.25">
      <c r="A779">
        <v>0</v>
      </c>
      <c r="E779">
        <v>779</v>
      </c>
      <c r="G779" t="str">
        <f t="shared" si="113"/>
        <v>7</v>
      </c>
      <c r="H779" t="str">
        <f t="shared" si="114"/>
        <v>7</v>
      </c>
      <c r="I779" t="str">
        <f t="shared" si="115"/>
        <v>9</v>
      </c>
      <c r="K779" t="str">
        <f t="shared" si="109"/>
        <v>7</v>
      </c>
      <c r="L779" t="str">
        <f t="shared" si="110"/>
        <v>7</v>
      </c>
      <c r="M779" t="str">
        <f t="shared" si="111"/>
        <v>9</v>
      </c>
      <c r="O779" s="69">
        <f t="shared" si="112"/>
        <v>23</v>
      </c>
      <c r="P779">
        <f t="shared" si="116"/>
        <v>138</v>
      </c>
      <c r="Q779" t="str">
        <f t="shared" si="117"/>
        <v xml:space="preserve"> </v>
      </c>
    </row>
    <row r="780" spans="1:17" x14ac:dyDescent="0.25">
      <c r="A780">
        <v>0</v>
      </c>
      <c r="E780">
        <v>780</v>
      </c>
      <c r="G780" t="str">
        <f t="shared" si="113"/>
        <v>7</v>
      </c>
      <c r="H780" t="str">
        <f t="shared" si="114"/>
        <v>8</v>
      </c>
      <c r="I780" t="str">
        <f t="shared" si="115"/>
        <v>0</v>
      </c>
      <c r="K780" t="str">
        <f t="shared" si="109"/>
        <v>7</v>
      </c>
      <c r="L780" t="str">
        <f t="shared" si="110"/>
        <v>8</v>
      </c>
      <c r="M780" t="str">
        <f t="shared" si="111"/>
        <v>0</v>
      </c>
      <c r="O780" s="69">
        <f t="shared" si="112"/>
        <v>15</v>
      </c>
      <c r="P780">
        <f t="shared" si="116"/>
        <v>90</v>
      </c>
      <c r="Q780" t="str">
        <f t="shared" si="117"/>
        <v xml:space="preserve"> </v>
      </c>
    </row>
    <row r="781" spans="1:17" x14ac:dyDescent="0.25">
      <c r="A781">
        <v>0</v>
      </c>
      <c r="E781">
        <v>781</v>
      </c>
      <c r="G781" t="str">
        <f t="shared" si="113"/>
        <v>7</v>
      </c>
      <c r="H781" t="str">
        <f t="shared" si="114"/>
        <v>8</v>
      </c>
      <c r="I781" t="str">
        <f t="shared" si="115"/>
        <v>1</v>
      </c>
      <c r="K781" t="str">
        <f t="shared" si="109"/>
        <v>7</v>
      </c>
      <c r="L781" t="str">
        <f t="shared" si="110"/>
        <v>8</v>
      </c>
      <c r="M781" t="str">
        <f t="shared" si="111"/>
        <v>1</v>
      </c>
      <c r="O781" s="69">
        <f t="shared" si="112"/>
        <v>16</v>
      </c>
      <c r="P781">
        <f t="shared" si="116"/>
        <v>96</v>
      </c>
      <c r="Q781" t="str">
        <f t="shared" si="117"/>
        <v xml:space="preserve"> </v>
      </c>
    </row>
    <row r="782" spans="1:17" x14ac:dyDescent="0.25">
      <c r="A782">
        <v>0</v>
      </c>
      <c r="E782">
        <v>782</v>
      </c>
      <c r="G782" t="str">
        <f t="shared" si="113"/>
        <v>7</v>
      </c>
      <c r="H782" t="str">
        <f t="shared" si="114"/>
        <v>8</v>
      </c>
      <c r="I782" t="str">
        <f t="shared" si="115"/>
        <v>2</v>
      </c>
      <c r="K782" t="str">
        <f t="shared" si="109"/>
        <v>7</v>
      </c>
      <c r="L782" t="str">
        <f t="shared" si="110"/>
        <v>8</v>
      </c>
      <c r="M782" t="str">
        <f t="shared" si="111"/>
        <v>2</v>
      </c>
      <c r="O782" s="69">
        <f t="shared" si="112"/>
        <v>17</v>
      </c>
      <c r="P782">
        <f t="shared" si="116"/>
        <v>102</v>
      </c>
      <c r="Q782" t="str">
        <f t="shared" si="117"/>
        <v xml:space="preserve"> </v>
      </c>
    </row>
    <row r="783" spans="1:17" x14ac:dyDescent="0.25">
      <c r="A783">
        <v>0</v>
      </c>
      <c r="E783">
        <v>783</v>
      </c>
      <c r="G783" t="str">
        <f t="shared" si="113"/>
        <v>7</v>
      </c>
      <c r="H783" t="str">
        <f t="shared" si="114"/>
        <v>8</v>
      </c>
      <c r="I783" t="str">
        <f t="shared" si="115"/>
        <v>3</v>
      </c>
      <c r="K783" t="str">
        <f t="shared" si="109"/>
        <v>7</v>
      </c>
      <c r="L783" t="str">
        <f t="shared" si="110"/>
        <v>8</v>
      </c>
      <c r="M783" t="str">
        <f t="shared" si="111"/>
        <v>3</v>
      </c>
      <c r="O783" s="69">
        <f t="shared" si="112"/>
        <v>18</v>
      </c>
      <c r="P783">
        <f t="shared" si="116"/>
        <v>108</v>
      </c>
      <c r="Q783" t="str">
        <f t="shared" si="117"/>
        <v xml:space="preserve"> </v>
      </c>
    </row>
    <row r="784" spans="1:17" x14ac:dyDescent="0.25">
      <c r="A784">
        <v>0</v>
      </c>
      <c r="E784">
        <v>784</v>
      </c>
      <c r="G784" t="str">
        <f t="shared" si="113"/>
        <v>7</v>
      </c>
      <c r="H784" t="str">
        <f t="shared" si="114"/>
        <v>8</v>
      </c>
      <c r="I784" t="str">
        <f t="shared" si="115"/>
        <v>4</v>
      </c>
      <c r="K784" t="str">
        <f t="shared" si="109"/>
        <v>7</v>
      </c>
      <c r="L784" t="str">
        <f t="shared" si="110"/>
        <v>8</v>
      </c>
      <c r="M784" t="str">
        <f t="shared" si="111"/>
        <v>4</v>
      </c>
      <c r="O784" s="69">
        <f t="shared" si="112"/>
        <v>19</v>
      </c>
      <c r="P784">
        <f t="shared" si="116"/>
        <v>114</v>
      </c>
      <c r="Q784" t="str">
        <f t="shared" si="117"/>
        <v xml:space="preserve"> </v>
      </c>
    </row>
    <row r="785" spans="1:17" x14ac:dyDescent="0.25">
      <c r="A785">
        <v>0</v>
      </c>
      <c r="E785">
        <v>785</v>
      </c>
      <c r="G785" t="str">
        <f t="shared" si="113"/>
        <v>7</v>
      </c>
      <c r="H785" t="str">
        <f t="shared" si="114"/>
        <v>8</v>
      </c>
      <c r="I785" t="str">
        <f t="shared" si="115"/>
        <v>5</v>
      </c>
      <c r="K785" t="str">
        <f t="shared" si="109"/>
        <v>7</v>
      </c>
      <c r="L785" t="str">
        <f t="shared" si="110"/>
        <v>8</v>
      </c>
      <c r="M785" t="str">
        <f t="shared" si="111"/>
        <v>5</v>
      </c>
      <c r="O785" s="69">
        <f t="shared" si="112"/>
        <v>20</v>
      </c>
      <c r="P785">
        <f t="shared" si="116"/>
        <v>120</v>
      </c>
      <c r="Q785" t="str">
        <f t="shared" si="117"/>
        <v xml:space="preserve"> </v>
      </c>
    </row>
    <row r="786" spans="1:17" x14ac:dyDescent="0.25">
      <c r="A786">
        <v>0</v>
      </c>
      <c r="E786">
        <v>786</v>
      </c>
      <c r="G786" t="str">
        <f t="shared" si="113"/>
        <v>7</v>
      </c>
      <c r="H786" t="str">
        <f t="shared" si="114"/>
        <v>8</v>
      </c>
      <c r="I786" t="str">
        <f t="shared" si="115"/>
        <v>6</v>
      </c>
      <c r="K786" t="str">
        <f t="shared" ref="K786:K849" si="118">+G786</f>
        <v>7</v>
      </c>
      <c r="L786" t="str">
        <f t="shared" ref="L786:L849" si="119">+H786</f>
        <v>8</v>
      </c>
      <c r="M786" t="str">
        <f t="shared" ref="M786:M849" si="120">+I786</f>
        <v>6</v>
      </c>
      <c r="O786" s="69">
        <f t="shared" si="112"/>
        <v>21</v>
      </c>
      <c r="P786">
        <f t="shared" si="116"/>
        <v>126</v>
      </c>
      <c r="Q786" t="str">
        <f t="shared" si="117"/>
        <v xml:space="preserve"> </v>
      </c>
    </row>
    <row r="787" spans="1:17" x14ac:dyDescent="0.25">
      <c r="A787">
        <v>0</v>
      </c>
      <c r="E787">
        <v>787</v>
      </c>
      <c r="G787" t="str">
        <f t="shared" si="113"/>
        <v>7</v>
      </c>
      <c r="H787" t="str">
        <f t="shared" si="114"/>
        <v>8</v>
      </c>
      <c r="I787" t="str">
        <f t="shared" si="115"/>
        <v>7</v>
      </c>
      <c r="K787" t="str">
        <f t="shared" si="118"/>
        <v>7</v>
      </c>
      <c r="L787" t="str">
        <f t="shared" si="119"/>
        <v>8</v>
      </c>
      <c r="M787" t="str">
        <f t="shared" si="120"/>
        <v>7</v>
      </c>
      <c r="O787" s="69">
        <f t="shared" si="112"/>
        <v>22</v>
      </c>
      <c r="P787">
        <f t="shared" si="116"/>
        <v>132</v>
      </c>
      <c r="Q787" t="str">
        <f t="shared" si="117"/>
        <v xml:space="preserve"> </v>
      </c>
    </row>
    <row r="788" spans="1:17" x14ac:dyDescent="0.25">
      <c r="A788">
        <v>0</v>
      </c>
      <c r="E788">
        <v>788</v>
      </c>
      <c r="G788" t="str">
        <f t="shared" si="113"/>
        <v>7</v>
      </c>
      <c r="H788" t="str">
        <f t="shared" si="114"/>
        <v>8</v>
      </c>
      <c r="I788" t="str">
        <f t="shared" si="115"/>
        <v>8</v>
      </c>
      <c r="K788" t="str">
        <f t="shared" si="118"/>
        <v>7</v>
      </c>
      <c r="L788" t="str">
        <f t="shared" si="119"/>
        <v>8</v>
      </c>
      <c r="M788" t="str">
        <f t="shared" si="120"/>
        <v>8</v>
      </c>
      <c r="O788" s="69">
        <f t="shared" si="112"/>
        <v>23</v>
      </c>
      <c r="P788">
        <f t="shared" si="116"/>
        <v>138</v>
      </c>
      <c r="Q788" t="str">
        <f t="shared" si="117"/>
        <v xml:space="preserve"> </v>
      </c>
    </row>
    <row r="789" spans="1:17" x14ac:dyDescent="0.25">
      <c r="A789">
        <v>0</v>
      </c>
      <c r="E789">
        <v>789</v>
      </c>
      <c r="G789" t="str">
        <f t="shared" si="113"/>
        <v>7</v>
      </c>
      <c r="H789" t="str">
        <f t="shared" si="114"/>
        <v>8</v>
      </c>
      <c r="I789" t="str">
        <f t="shared" si="115"/>
        <v>9</v>
      </c>
      <c r="K789" t="str">
        <f t="shared" si="118"/>
        <v>7</v>
      </c>
      <c r="L789" t="str">
        <f t="shared" si="119"/>
        <v>8</v>
      </c>
      <c r="M789" t="str">
        <f t="shared" si="120"/>
        <v>9</v>
      </c>
      <c r="O789" s="69">
        <f t="shared" si="112"/>
        <v>24</v>
      </c>
      <c r="P789">
        <f t="shared" si="116"/>
        <v>144</v>
      </c>
      <c r="Q789" t="str">
        <f t="shared" si="117"/>
        <v xml:space="preserve"> </v>
      </c>
    </row>
    <row r="790" spans="1:17" x14ac:dyDescent="0.25">
      <c r="A790">
        <v>0</v>
      </c>
      <c r="E790">
        <v>790</v>
      </c>
      <c r="G790" t="str">
        <f t="shared" si="113"/>
        <v>7</v>
      </c>
      <c r="H790" t="str">
        <f t="shared" si="114"/>
        <v>9</v>
      </c>
      <c r="I790" t="str">
        <f t="shared" si="115"/>
        <v>0</v>
      </c>
      <c r="K790" t="str">
        <f t="shared" si="118"/>
        <v>7</v>
      </c>
      <c r="L790" t="str">
        <f t="shared" si="119"/>
        <v>9</v>
      </c>
      <c r="M790" t="str">
        <f t="shared" si="120"/>
        <v>0</v>
      </c>
      <c r="O790" s="69">
        <f t="shared" si="112"/>
        <v>16</v>
      </c>
      <c r="P790">
        <f t="shared" si="116"/>
        <v>96</v>
      </c>
      <c r="Q790" t="str">
        <f t="shared" si="117"/>
        <v xml:space="preserve"> </v>
      </c>
    </row>
    <row r="791" spans="1:17" x14ac:dyDescent="0.25">
      <c r="A791">
        <v>0</v>
      </c>
      <c r="E791">
        <v>791</v>
      </c>
      <c r="G791" t="str">
        <f t="shared" si="113"/>
        <v>7</v>
      </c>
      <c r="H791" t="str">
        <f t="shared" si="114"/>
        <v>9</v>
      </c>
      <c r="I791" t="str">
        <f t="shared" si="115"/>
        <v>1</v>
      </c>
      <c r="K791" t="str">
        <f t="shared" si="118"/>
        <v>7</v>
      </c>
      <c r="L791" t="str">
        <f t="shared" si="119"/>
        <v>9</v>
      </c>
      <c r="M791" t="str">
        <f t="shared" si="120"/>
        <v>1</v>
      </c>
      <c r="O791" s="69">
        <f t="shared" si="112"/>
        <v>17</v>
      </c>
      <c r="P791">
        <f t="shared" si="116"/>
        <v>102</v>
      </c>
      <c r="Q791" t="str">
        <f t="shared" si="117"/>
        <v xml:space="preserve"> </v>
      </c>
    </row>
    <row r="792" spans="1:17" x14ac:dyDescent="0.25">
      <c r="A792">
        <v>0</v>
      </c>
      <c r="E792">
        <v>792</v>
      </c>
      <c r="G792" t="str">
        <f t="shared" si="113"/>
        <v>7</v>
      </c>
      <c r="H792" t="str">
        <f t="shared" si="114"/>
        <v>9</v>
      </c>
      <c r="I792" t="str">
        <f t="shared" si="115"/>
        <v>2</v>
      </c>
      <c r="K792" t="str">
        <f t="shared" si="118"/>
        <v>7</v>
      </c>
      <c r="L792" t="str">
        <f t="shared" si="119"/>
        <v>9</v>
      </c>
      <c r="M792" t="str">
        <f t="shared" si="120"/>
        <v>2</v>
      </c>
      <c r="O792" s="69">
        <f t="shared" si="112"/>
        <v>18</v>
      </c>
      <c r="P792">
        <f t="shared" si="116"/>
        <v>108</v>
      </c>
      <c r="Q792" t="str">
        <f t="shared" si="117"/>
        <v xml:space="preserve"> </v>
      </c>
    </row>
    <row r="793" spans="1:17" x14ac:dyDescent="0.25">
      <c r="A793">
        <v>0</v>
      </c>
      <c r="E793">
        <v>793</v>
      </c>
      <c r="G793" t="str">
        <f t="shared" si="113"/>
        <v>7</v>
      </c>
      <c r="H793" t="str">
        <f t="shared" si="114"/>
        <v>9</v>
      </c>
      <c r="I793" t="str">
        <f t="shared" si="115"/>
        <v>3</v>
      </c>
      <c r="K793" t="str">
        <f t="shared" si="118"/>
        <v>7</v>
      </c>
      <c r="L793" t="str">
        <f t="shared" si="119"/>
        <v>9</v>
      </c>
      <c r="M793" t="str">
        <f t="shared" si="120"/>
        <v>3</v>
      </c>
      <c r="O793" s="69">
        <f t="shared" si="112"/>
        <v>19</v>
      </c>
      <c r="P793">
        <f t="shared" si="116"/>
        <v>114</v>
      </c>
      <c r="Q793" t="str">
        <f t="shared" si="117"/>
        <v xml:space="preserve"> </v>
      </c>
    </row>
    <row r="794" spans="1:17" x14ac:dyDescent="0.25">
      <c r="A794">
        <v>0</v>
      </c>
      <c r="E794">
        <v>794</v>
      </c>
      <c r="G794" t="str">
        <f t="shared" si="113"/>
        <v>7</v>
      </c>
      <c r="H794" t="str">
        <f t="shared" si="114"/>
        <v>9</v>
      </c>
      <c r="I794" t="str">
        <f t="shared" si="115"/>
        <v>4</v>
      </c>
      <c r="K794" t="str">
        <f t="shared" si="118"/>
        <v>7</v>
      </c>
      <c r="L794" t="str">
        <f t="shared" si="119"/>
        <v>9</v>
      </c>
      <c r="M794" t="str">
        <f t="shared" si="120"/>
        <v>4</v>
      </c>
      <c r="O794" s="69">
        <f t="shared" si="112"/>
        <v>20</v>
      </c>
      <c r="P794">
        <f t="shared" si="116"/>
        <v>120</v>
      </c>
      <c r="Q794" t="str">
        <f t="shared" si="117"/>
        <v xml:space="preserve"> </v>
      </c>
    </row>
    <row r="795" spans="1:17" x14ac:dyDescent="0.25">
      <c r="A795">
        <v>0</v>
      </c>
      <c r="E795">
        <v>795</v>
      </c>
      <c r="G795" t="str">
        <f t="shared" si="113"/>
        <v>7</v>
      </c>
      <c r="H795" t="str">
        <f t="shared" si="114"/>
        <v>9</v>
      </c>
      <c r="I795" t="str">
        <f t="shared" si="115"/>
        <v>5</v>
      </c>
      <c r="K795" t="str">
        <f t="shared" si="118"/>
        <v>7</v>
      </c>
      <c r="L795" t="str">
        <f t="shared" si="119"/>
        <v>9</v>
      </c>
      <c r="M795" t="str">
        <f t="shared" si="120"/>
        <v>5</v>
      </c>
      <c r="O795" s="69">
        <f t="shared" si="112"/>
        <v>21</v>
      </c>
      <c r="P795">
        <f t="shared" si="116"/>
        <v>126</v>
      </c>
      <c r="Q795" t="str">
        <f t="shared" si="117"/>
        <v xml:space="preserve"> </v>
      </c>
    </row>
    <row r="796" spans="1:17" x14ac:dyDescent="0.25">
      <c r="A796">
        <v>0</v>
      </c>
      <c r="E796">
        <v>796</v>
      </c>
      <c r="G796" t="str">
        <f t="shared" si="113"/>
        <v>7</v>
      </c>
      <c r="H796" t="str">
        <f t="shared" si="114"/>
        <v>9</v>
      </c>
      <c r="I796" t="str">
        <f t="shared" si="115"/>
        <v>6</v>
      </c>
      <c r="K796" t="str">
        <f t="shared" si="118"/>
        <v>7</v>
      </c>
      <c r="L796" t="str">
        <f t="shared" si="119"/>
        <v>9</v>
      </c>
      <c r="M796" t="str">
        <f t="shared" si="120"/>
        <v>6</v>
      </c>
      <c r="O796" s="69">
        <f t="shared" si="112"/>
        <v>22</v>
      </c>
      <c r="P796">
        <f t="shared" si="116"/>
        <v>132</v>
      </c>
      <c r="Q796" t="str">
        <f t="shared" si="117"/>
        <v xml:space="preserve"> </v>
      </c>
    </row>
    <row r="797" spans="1:17" x14ac:dyDescent="0.25">
      <c r="A797">
        <v>0</v>
      </c>
      <c r="E797">
        <v>797</v>
      </c>
      <c r="G797" t="str">
        <f t="shared" si="113"/>
        <v>7</v>
      </c>
      <c r="H797" t="str">
        <f t="shared" si="114"/>
        <v>9</v>
      </c>
      <c r="I797" t="str">
        <f t="shared" si="115"/>
        <v>7</v>
      </c>
      <c r="K797" t="str">
        <f t="shared" si="118"/>
        <v>7</v>
      </c>
      <c r="L797" t="str">
        <f t="shared" si="119"/>
        <v>9</v>
      </c>
      <c r="M797" t="str">
        <f t="shared" si="120"/>
        <v>7</v>
      </c>
      <c r="O797" s="69">
        <f t="shared" si="112"/>
        <v>23</v>
      </c>
      <c r="P797">
        <f t="shared" si="116"/>
        <v>138</v>
      </c>
      <c r="Q797" t="str">
        <f t="shared" si="117"/>
        <v xml:space="preserve"> </v>
      </c>
    </row>
    <row r="798" spans="1:17" x14ac:dyDescent="0.25">
      <c r="A798">
        <v>0</v>
      </c>
      <c r="E798">
        <v>798</v>
      </c>
      <c r="G798" t="str">
        <f t="shared" si="113"/>
        <v>7</v>
      </c>
      <c r="H798" t="str">
        <f t="shared" si="114"/>
        <v>9</v>
      </c>
      <c r="I798" t="str">
        <f t="shared" si="115"/>
        <v>8</v>
      </c>
      <c r="K798" t="str">
        <f t="shared" si="118"/>
        <v>7</v>
      </c>
      <c r="L798" t="str">
        <f t="shared" si="119"/>
        <v>9</v>
      </c>
      <c r="M798" t="str">
        <f t="shared" si="120"/>
        <v>8</v>
      </c>
      <c r="O798" s="69">
        <f t="shared" si="112"/>
        <v>24</v>
      </c>
      <c r="P798">
        <f t="shared" si="116"/>
        <v>144</v>
      </c>
      <c r="Q798" t="str">
        <f t="shared" si="117"/>
        <v xml:space="preserve"> </v>
      </c>
    </row>
    <row r="799" spans="1:17" x14ac:dyDescent="0.25">
      <c r="A799">
        <v>0</v>
      </c>
      <c r="E799">
        <v>799</v>
      </c>
      <c r="G799" t="str">
        <f t="shared" si="113"/>
        <v>7</v>
      </c>
      <c r="H799" t="str">
        <f t="shared" si="114"/>
        <v>9</v>
      </c>
      <c r="I799" t="str">
        <f t="shared" si="115"/>
        <v>9</v>
      </c>
      <c r="K799" t="str">
        <f t="shared" si="118"/>
        <v>7</v>
      </c>
      <c r="L799" t="str">
        <f t="shared" si="119"/>
        <v>9</v>
      </c>
      <c r="M799" t="str">
        <f t="shared" si="120"/>
        <v>9</v>
      </c>
      <c r="O799" s="69">
        <f t="shared" si="112"/>
        <v>25</v>
      </c>
      <c r="P799">
        <f t="shared" si="116"/>
        <v>150</v>
      </c>
      <c r="Q799" t="str">
        <f t="shared" si="117"/>
        <v xml:space="preserve"> </v>
      </c>
    </row>
    <row r="800" spans="1:17" x14ac:dyDescent="0.25">
      <c r="A800">
        <v>0</v>
      </c>
      <c r="E800">
        <v>800</v>
      </c>
      <c r="G800" t="str">
        <f t="shared" si="113"/>
        <v>8</v>
      </c>
      <c r="H800" t="str">
        <f t="shared" si="114"/>
        <v>0</v>
      </c>
      <c r="I800" t="str">
        <f t="shared" si="115"/>
        <v>0</v>
      </c>
      <c r="K800" t="str">
        <f t="shared" si="118"/>
        <v>8</v>
      </c>
      <c r="L800" t="str">
        <f t="shared" si="119"/>
        <v>0</v>
      </c>
      <c r="M800" t="str">
        <f t="shared" si="120"/>
        <v>0</v>
      </c>
      <c r="O800" s="69">
        <f t="shared" si="112"/>
        <v>8</v>
      </c>
      <c r="P800">
        <f t="shared" si="116"/>
        <v>48</v>
      </c>
      <c r="Q800" t="str">
        <f t="shared" si="117"/>
        <v xml:space="preserve"> </v>
      </c>
    </row>
    <row r="801" spans="1:17" x14ac:dyDescent="0.25">
      <c r="A801">
        <v>0</v>
      </c>
      <c r="E801">
        <v>801</v>
      </c>
      <c r="G801" t="str">
        <f t="shared" si="113"/>
        <v>8</v>
      </c>
      <c r="H801" t="str">
        <f t="shared" si="114"/>
        <v>0</v>
      </c>
      <c r="I801" t="str">
        <f t="shared" si="115"/>
        <v>1</v>
      </c>
      <c r="K801" t="str">
        <f t="shared" si="118"/>
        <v>8</v>
      </c>
      <c r="L801" t="str">
        <f t="shared" si="119"/>
        <v>0</v>
      </c>
      <c r="M801" t="str">
        <f t="shared" si="120"/>
        <v>1</v>
      </c>
      <c r="O801" s="69">
        <f t="shared" si="112"/>
        <v>9</v>
      </c>
      <c r="P801">
        <f t="shared" si="116"/>
        <v>54</v>
      </c>
      <c r="Q801" t="str">
        <f t="shared" si="117"/>
        <v xml:space="preserve"> </v>
      </c>
    </row>
    <row r="802" spans="1:17" x14ac:dyDescent="0.25">
      <c r="A802">
        <v>0</v>
      </c>
      <c r="E802">
        <v>802</v>
      </c>
      <c r="G802" t="str">
        <f t="shared" si="113"/>
        <v>8</v>
      </c>
      <c r="H802" t="str">
        <f t="shared" si="114"/>
        <v>0</v>
      </c>
      <c r="I802" t="str">
        <f t="shared" si="115"/>
        <v>2</v>
      </c>
      <c r="K802" t="str">
        <f t="shared" si="118"/>
        <v>8</v>
      </c>
      <c r="L802" t="str">
        <f t="shared" si="119"/>
        <v>0</v>
      </c>
      <c r="M802" t="str">
        <f t="shared" si="120"/>
        <v>2</v>
      </c>
      <c r="O802" s="69">
        <f t="shared" si="112"/>
        <v>10</v>
      </c>
      <c r="P802">
        <f t="shared" si="116"/>
        <v>60</v>
      </c>
      <c r="Q802" t="str">
        <f t="shared" si="117"/>
        <v xml:space="preserve"> </v>
      </c>
    </row>
    <row r="803" spans="1:17" x14ac:dyDescent="0.25">
      <c r="A803">
        <v>0</v>
      </c>
      <c r="E803">
        <v>803</v>
      </c>
      <c r="G803" t="str">
        <f t="shared" si="113"/>
        <v>8</v>
      </c>
      <c r="H803" t="str">
        <f t="shared" si="114"/>
        <v>0</v>
      </c>
      <c r="I803" t="str">
        <f t="shared" si="115"/>
        <v>3</v>
      </c>
      <c r="K803" t="str">
        <f t="shared" si="118"/>
        <v>8</v>
      </c>
      <c r="L803" t="str">
        <f t="shared" si="119"/>
        <v>0</v>
      </c>
      <c r="M803" t="str">
        <f t="shared" si="120"/>
        <v>3</v>
      </c>
      <c r="O803" s="69">
        <f t="shared" si="112"/>
        <v>11</v>
      </c>
      <c r="P803">
        <f t="shared" si="116"/>
        <v>66</v>
      </c>
      <c r="Q803" t="str">
        <f t="shared" si="117"/>
        <v xml:space="preserve"> </v>
      </c>
    </row>
    <row r="804" spans="1:17" x14ac:dyDescent="0.25">
      <c r="A804">
        <v>0</v>
      </c>
      <c r="E804">
        <v>804</v>
      </c>
      <c r="G804" t="str">
        <f t="shared" si="113"/>
        <v>8</v>
      </c>
      <c r="H804" t="str">
        <f t="shared" si="114"/>
        <v>0</v>
      </c>
      <c r="I804" t="str">
        <f t="shared" si="115"/>
        <v>4</v>
      </c>
      <c r="K804" t="str">
        <f t="shared" si="118"/>
        <v>8</v>
      </c>
      <c r="L804" t="str">
        <f t="shared" si="119"/>
        <v>0</v>
      </c>
      <c r="M804" t="str">
        <f t="shared" si="120"/>
        <v>4</v>
      </c>
      <c r="O804" s="69">
        <f t="shared" si="112"/>
        <v>12</v>
      </c>
      <c r="P804">
        <f t="shared" si="116"/>
        <v>72</v>
      </c>
      <c r="Q804" t="str">
        <f t="shared" si="117"/>
        <v xml:space="preserve"> </v>
      </c>
    </row>
    <row r="805" spans="1:17" x14ac:dyDescent="0.25">
      <c r="A805">
        <v>0</v>
      </c>
      <c r="E805">
        <v>805</v>
      </c>
      <c r="G805" t="str">
        <f t="shared" si="113"/>
        <v>8</v>
      </c>
      <c r="H805" t="str">
        <f t="shared" si="114"/>
        <v>0</v>
      </c>
      <c r="I805" t="str">
        <f t="shared" si="115"/>
        <v>5</v>
      </c>
      <c r="K805" t="str">
        <f t="shared" si="118"/>
        <v>8</v>
      </c>
      <c r="L805" t="str">
        <f t="shared" si="119"/>
        <v>0</v>
      </c>
      <c r="M805" t="str">
        <f t="shared" si="120"/>
        <v>5</v>
      </c>
      <c r="O805" s="69">
        <f t="shared" ref="O805:O868" si="121">+K805+L805+M805</f>
        <v>13</v>
      </c>
      <c r="P805">
        <f t="shared" si="116"/>
        <v>78</v>
      </c>
      <c r="Q805" t="str">
        <f t="shared" si="117"/>
        <v xml:space="preserve"> </v>
      </c>
    </row>
    <row r="806" spans="1:17" x14ac:dyDescent="0.25">
      <c r="A806">
        <v>0</v>
      </c>
      <c r="E806">
        <v>806</v>
      </c>
      <c r="G806" t="str">
        <f t="shared" si="113"/>
        <v>8</v>
      </c>
      <c r="H806" t="str">
        <f t="shared" si="114"/>
        <v>0</v>
      </c>
      <c r="I806" t="str">
        <f t="shared" si="115"/>
        <v>6</v>
      </c>
      <c r="K806" t="str">
        <f t="shared" si="118"/>
        <v>8</v>
      </c>
      <c r="L806" t="str">
        <f t="shared" si="119"/>
        <v>0</v>
      </c>
      <c r="M806" t="str">
        <f t="shared" si="120"/>
        <v>6</v>
      </c>
      <c r="O806" s="69">
        <f t="shared" si="121"/>
        <v>14</v>
      </c>
      <c r="P806">
        <f t="shared" si="116"/>
        <v>84</v>
      </c>
      <c r="Q806" t="str">
        <f t="shared" si="117"/>
        <v xml:space="preserve"> </v>
      </c>
    </row>
    <row r="807" spans="1:17" x14ac:dyDescent="0.25">
      <c r="A807">
        <v>0</v>
      </c>
      <c r="E807">
        <v>807</v>
      </c>
      <c r="G807" t="str">
        <f t="shared" si="113"/>
        <v>8</v>
      </c>
      <c r="H807" t="str">
        <f t="shared" si="114"/>
        <v>0</v>
      </c>
      <c r="I807" t="str">
        <f t="shared" si="115"/>
        <v>7</v>
      </c>
      <c r="K807" t="str">
        <f t="shared" si="118"/>
        <v>8</v>
      </c>
      <c r="L807" t="str">
        <f t="shared" si="119"/>
        <v>0</v>
      </c>
      <c r="M807" t="str">
        <f t="shared" si="120"/>
        <v>7</v>
      </c>
      <c r="O807" s="69">
        <f t="shared" si="121"/>
        <v>15</v>
      </c>
      <c r="P807">
        <f t="shared" si="116"/>
        <v>90</v>
      </c>
      <c r="Q807" t="str">
        <f t="shared" si="117"/>
        <v xml:space="preserve"> </v>
      </c>
    </row>
    <row r="808" spans="1:17" x14ac:dyDescent="0.25">
      <c r="A808">
        <v>0</v>
      </c>
      <c r="E808">
        <v>808</v>
      </c>
      <c r="G808" t="str">
        <f t="shared" si="113"/>
        <v>8</v>
      </c>
      <c r="H808" t="str">
        <f t="shared" si="114"/>
        <v>0</v>
      </c>
      <c r="I808" t="str">
        <f t="shared" si="115"/>
        <v>8</v>
      </c>
      <c r="K808" t="str">
        <f t="shared" si="118"/>
        <v>8</v>
      </c>
      <c r="L808" t="str">
        <f t="shared" si="119"/>
        <v>0</v>
      </c>
      <c r="M808" t="str">
        <f t="shared" si="120"/>
        <v>8</v>
      </c>
      <c r="O808" s="69">
        <f t="shared" si="121"/>
        <v>16</v>
      </c>
      <c r="P808">
        <f t="shared" si="116"/>
        <v>96</v>
      </c>
      <c r="Q808" t="str">
        <f t="shared" si="117"/>
        <v xml:space="preserve"> </v>
      </c>
    </row>
    <row r="809" spans="1:17" x14ac:dyDescent="0.25">
      <c r="A809">
        <v>0</v>
      </c>
      <c r="E809">
        <v>809</v>
      </c>
      <c r="G809" t="str">
        <f t="shared" si="113"/>
        <v>8</v>
      </c>
      <c r="H809" t="str">
        <f t="shared" si="114"/>
        <v>0</v>
      </c>
      <c r="I809" t="str">
        <f t="shared" si="115"/>
        <v>9</v>
      </c>
      <c r="K809" t="str">
        <f t="shared" si="118"/>
        <v>8</v>
      </c>
      <c r="L809" t="str">
        <f t="shared" si="119"/>
        <v>0</v>
      </c>
      <c r="M809" t="str">
        <f t="shared" si="120"/>
        <v>9</v>
      </c>
      <c r="O809" s="69">
        <f t="shared" si="121"/>
        <v>17</v>
      </c>
      <c r="P809">
        <f t="shared" si="116"/>
        <v>102</v>
      </c>
      <c r="Q809" t="str">
        <f t="shared" si="117"/>
        <v xml:space="preserve"> </v>
      </c>
    </row>
    <row r="810" spans="1:17" x14ac:dyDescent="0.25">
      <c r="A810">
        <v>0</v>
      </c>
      <c r="E810">
        <v>810</v>
      </c>
      <c r="G810" t="str">
        <f t="shared" si="113"/>
        <v>8</v>
      </c>
      <c r="H810" t="str">
        <f t="shared" si="114"/>
        <v>1</v>
      </c>
      <c r="I810" t="str">
        <f t="shared" si="115"/>
        <v>0</v>
      </c>
      <c r="K810" t="str">
        <f t="shared" si="118"/>
        <v>8</v>
      </c>
      <c r="L810" t="str">
        <f t="shared" si="119"/>
        <v>1</v>
      </c>
      <c r="M810" t="str">
        <f t="shared" si="120"/>
        <v>0</v>
      </c>
      <c r="O810" s="69">
        <f t="shared" si="121"/>
        <v>9</v>
      </c>
      <c r="P810">
        <f t="shared" si="116"/>
        <v>54</v>
      </c>
      <c r="Q810" t="str">
        <f t="shared" si="117"/>
        <v xml:space="preserve"> </v>
      </c>
    </row>
    <row r="811" spans="1:17" x14ac:dyDescent="0.25">
      <c r="A811">
        <v>0</v>
      </c>
      <c r="E811">
        <v>811</v>
      </c>
      <c r="G811" t="str">
        <f t="shared" si="113"/>
        <v>8</v>
      </c>
      <c r="H811" t="str">
        <f t="shared" si="114"/>
        <v>1</v>
      </c>
      <c r="I811" t="str">
        <f t="shared" si="115"/>
        <v>1</v>
      </c>
      <c r="K811" t="str">
        <f t="shared" si="118"/>
        <v>8</v>
      </c>
      <c r="L811" t="str">
        <f t="shared" si="119"/>
        <v>1</v>
      </c>
      <c r="M811" t="str">
        <f t="shared" si="120"/>
        <v>1</v>
      </c>
      <c r="O811" s="69">
        <f t="shared" si="121"/>
        <v>10</v>
      </c>
      <c r="P811">
        <f t="shared" si="116"/>
        <v>60</v>
      </c>
      <c r="Q811" t="str">
        <f t="shared" si="117"/>
        <v xml:space="preserve"> </v>
      </c>
    </row>
    <row r="812" spans="1:17" x14ac:dyDescent="0.25">
      <c r="A812">
        <v>0</v>
      </c>
      <c r="E812">
        <v>812</v>
      </c>
      <c r="G812" t="str">
        <f t="shared" si="113"/>
        <v>8</v>
      </c>
      <c r="H812" t="str">
        <f t="shared" si="114"/>
        <v>1</v>
      </c>
      <c r="I812" t="str">
        <f t="shared" si="115"/>
        <v>2</v>
      </c>
      <c r="K812" t="str">
        <f t="shared" si="118"/>
        <v>8</v>
      </c>
      <c r="L812" t="str">
        <f t="shared" si="119"/>
        <v>1</v>
      </c>
      <c r="M812" t="str">
        <f t="shared" si="120"/>
        <v>2</v>
      </c>
      <c r="O812" s="69">
        <f t="shared" si="121"/>
        <v>11</v>
      </c>
      <c r="P812">
        <f t="shared" si="116"/>
        <v>66</v>
      </c>
      <c r="Q812" t="str">
        <f t="shared" si="117"/>
        <v xml:space="preserve"> </v>
      </c>
    </row>
    <row r="813" spans="1:17" x14ac:dyDescent="0.25">
      <c r="A813">
        <v>0</v>
      </c>
      <c r="E813">
        <v>813</v>
      </c>
      <c r="G813" t="str">
        <f t="shared" si="113"/>
        <v>8</v>
      </c>
      <c r="H813" t="str">
        <f t="shared" si="114"/>
        <v>1</v>
      </c>
      <c r="I813" t="str">
        <f t="shared" si="115"/>
        <v>3</v>
      </c>
      <c r="K813" t="str">
        <f t="shared" si="118"/>
        <v>8</v>
      </c>
      <c r="L813" t="str">
        <f t="shared" si="119"/>
        <v>1</v>
      </c>
      <c r="M813" t="str">
        <f t="shared" si="120"/>
        <v>3</v>
      </c>
      <c r="O813" s="69">
        <f t="shared" si="121"/>
        <v>12</v>
      </c>
      <c r="P813">
        <f t="shared" si="116"/>
        <v>72</v>
      </c>
      <c r="Q813" t="str">
        <f t="shared" si="117"/>
        <v xml:space="preserve"> </v>
      </c>
    </row>
    <row r="814" spans="1:17" x14ac:dyDescent="0.25">
      <c r="A814">
        <v>0</v>
      </c>
      <c r="E814">
        <v>814</v>
      </c>
      <c r="G814" t="str">
        <f t="shared" si="113"/>
        <v>8</v>
      </c>
      <c r="H814" t="str">
        <f t="shared" si="114"/>
        <v>1</v>
      </c>
      <c r="I814" t="str">
        <f t="shared" si="115"/>
        <v>4</v>
      </c>
      <c r="K814" t="str">
        <f t="shared" si="118"/>
        <v>8</v>
      </c>
      <c r="L814" t="str">
        <f t="shared" si="119"/>
        <v>1</v>
      </c>
      <c r="M814" t="str">
        <f t="shared" si="120"/>
        <v>4</v>
      </c>
      <c r="O814" s="69">
        <f t="shared" si="121"/>
        <v>13</v>
      </c>
      <c r="P814">
        <f t="shared" si="116"/>
        <v>78</v>
      </c>
      <c r="Q814" t="str">
        <f t="shared" si="117"/>
        <v xml:space="preserve"> </v>
      </c>
    </row>
    <row r="815" spans="1:17" x14ac:dyDescent="0.25">
      <c r="A815">
        <v>0</v>
      </c>
      <c r="E815">
        <v>815</v>
      </c>
      <c r="G815" t="str">
        <f t="shared" si="113"/>
        <v>8</v>
      </c>
      <c r="H815" t="str">
        <f t="shared" si="114"/>
        <v>1</v>
      </c>
      <c r="I815" t="str">
        <f t="shared" si="115"/>
        <v>5</v>
      </c>
      <c r="K815" t="str">
        <f t="shared" si="118"/>
        <v>8</v>
      </c>
      <c r="L815" t="str">
        <f t="shared" si="119"/>
        <v>1</v>
      </c>
      <c r="M815" t="str">
        <f t="shared" si="120"/>
        <v>5</v>
      </c>
      <c r="O815" s="69">
        <f t="shared" si="121"/>
        <v>14</v>
      </c>
      <c r="P815">
        <f t="shared" si="116"/>
        <v>84</v>
      </c>
      <c r="Q815" t="str">
        <f t="shared" si="117"/>
        <v xml:space="preserve"> </v>
      </c>
    </row>
    <row r="816" spans="1:17" x14ac:dyDescent="0.25">
      <c r="A816">
        <v>0</v>
      </c>
      <c r="E816">
        <v>816</v>
      </c>
      <c r="G816" t="str">
        <f t="shared" si="113"/>
        <v>8</v>
      </c>
      <c r="H816" t="str">
        <f t="shared" si="114"/>
        <v>1</v>
      </c>
      <c r="I816" t="str">
        <f t="shared" si="115"/>
        <v>6</v>
      </c>
      <c r="K816" t="str">
        <f t="shared" si="118"/>
        <v>8</v>
      </c>
      <c r="L816" t="str">
        <f t="shared" si="119"/>
        <v>1</v>
      </c>
      <c r="M816" t="str">
        <f t="shared" si="120"/>
        <v>6</v>
      </c>
      <c r="O816" s="69">
        <f t="shared" si="121"/>
        <v>15</v>
      </c>
      <c r="P816">
        <f t="shared" si="116"/>
        <v>90</v>
      </c>
      <c r="Q816" t="str">
        <f t="shared" si="117"/>
        <v xml:space="preserve"> </v>
      </c>
    </row>
    <row r="817" spans="1:17" x14ac:dyDescent="0.25">
      <c r="A817">
        <v>0</v>
      </c>
      <c r="E817">
        <v>817</v>
      </c>
      <c r="G817" t="str">
        <f t="shared" si="113"/>
        <v>8</v>
      </c>
      <c r="H817" t="str">
        <f t="shared" si="114"/>
        <v>1</v>
      </c>
      <c r="I817" t="str">
        <f t="shared" si="115"/>
        <v>7</v>
      </c>
      <c r="K817" t="str">
        <f t="shared" si="118"/>
        <v>8</v>
      </c>
      <c r="L817" t="str">
        <f t="shared" si="119"/>
        <v>1</v>
      </c>
      <c r="M817" t="str">
        <f t="shared" si="120"/>
        <v>7</v>
      </c>
      <c r="O817" s="69">
        <f t="shared" si="121"/>
        <v>16</v>
      </c>
      <c r="P817">
        <f t="shared" si="116"/>
        <v>96</v>
      </c>
      <c r="Q817" t="str">
        <f t="shared" si="117"/>
        <v xml:space="preserve"> </v>
      </c>
    </row>
    <row r="818" spans="1:17" x14ac:dyDescent="0.25">
      <c r="A818">
        <v>0</v>
      </c>
      <c r="E818">
        <v>818</v>
      </c>
      <c r="G818" t="str">
        <f t="shared" si="113"/>
        <v>8</v>
      </c>
      <c r="H818" t="str">
        <f t="shared" si="114"/>
        <v>1</v>
      </c>
      <c r="I818" t="str">
        <f t="shared" si="115"/>
        <v>8</v>
      </c>
      <c r="K818" t="str">
        <f t="shared" si="118"/>
        <v>8</v>
      </c>
      <c r="L818" t="str">
        <f t="shared" si="119"/>
        <v>1</v>
      </c>
      <c r="M818" t="str">
        <f t="shared" si="120"/>
        <v>8</v>
      </c>
      <c r="O818" s="69">
        <f t="shared" si="121"/>
        <v>17</v>
      </c>
      <c r="P818">
        <f t="shared" si="116"/>
        <v>102</v>
      </c>
      <c r="Q818" t="str">
        <f t="shared" si="117"/>
        <v xml:space="preserve"> </v>
      </c>
    </row>
    <row r="819" spans="1:17" x14ac:dyDescent="0.25">
      <c r="A819">
        <v>0</v>
      </c>
      <c r="E819">
        <v>819</v>
      </c>
      <c r="G819" t="str">
        <f t="shared" si="113"/>
        <v>8</v>
      </c>
      <c r="H819" t="str">
        <f t="shared" si="114"/>
        <v>1</v>
      </c>
      <c r="I819" t="str">
        <f t="shared" si="115"/>
        <v>9</v>
      </c>
      <c r="K819" t="str">
        <f t="shared" si="118"/>
        <v>8</v>
      </c>
      <c r="L819" t="str">
        <f t="shared" si="119"/>
        <v>1</v>
      </c>
      <c r="M819" t="str">
        <f t="shared" si="120"/>
        <v>9</v>
      </c>
      <c r="O819" s="69">
        <f t="shared" si="121"/>
        <v>18</v>
      </c>
      <c r="P819">
        <f t="shared" si="116"/>
        <v>108</v>
      </c>
      <c r="Q819" t="str">
        <f t="shared" si="117"/>
        <v xml:space="preserve"> </v>
      </c>
    </row>
    <row r="820" spans="1:17" x14ac:dyDescent="0.25">
      <c r="A820">
        <v>0</v>
      </c>
      <c r="E820">
        <v>820</v>
      </c>
      <c r="G820" t="str">
        <f t="shared" si="113"/>
        <v>8</v>
      </c>
      <c r="H820" t="str">
        <f t="shared" si="114"/>
        <v>2</v>
      </c>
      <c r="I820" t="str">
        <f t="shared" si="115"/>
        <v>0</v>
      </c>
      <c r="K820" t="str">
        <f t="shared" si="118"/>
        <v>8</v>
      </c>
      <c r="L820" t="str">
        <f t="shared" si="119"/>
        <v>2</v>
      </c>
      <c r="M820" t="str">
        <f t="shared" si="120"/>
        <v>0</v>
      </c>
      <c r="O820" s="69">
        <f t="shared" si="121"/>
        <v>10</v>
      </c>
      <c r="P820">
        <f t="shared" si="116"/>
        <v>60</v>
      </c>
      <c r="Q820" t="str">
        <f t="shared" si="117"/>
        <v xml:space="preserve"> </v>
      </c>
    </row>
    <row r="821" spans="1:17" x14ac:dyDescent="0.25">
      <c r="A821">
        <v>0</v>
      </c>
      <c r="E821">
        <v>821</v>
      </c>
      <c r="G821" t="str">
        <f t="shared" si="113"/>
        <v>8</v>
      </c>
      <c r="H821" t="str">
        <f t="shared" si="114"/>
        <v>2</v>
      </c>
      <c r="I821" t="str">
        <f t="shared" si="115"/>
        <v>1</v>
      </c>
      <c r="K821" t="str">
        <f t="shared" si="118"/>
        <v>8</v>
      </c>
      <c r="L821" t="str">
        <f t="shared" si="119"/>
        <v>2</v>
      </c>
      <c r="M821" t="str">
        <f t="shared" si="120"/>
        <v>1</v>
      </c>
      <c r="O821" s="69">
        <f t="shared" si="121"/>
        <v>11</v>
      </c>
      <c r="P821">
        <f t="shared" si="116"/>
        <v>66</v>
      </c>
      <c r="Q821" t="str">
        <f t="shared" si="117"/>
        <v xml:space="preserve"> </v>
      </c>
    </row>
    <row r="822" spans="1:17" x14ac:dyDescent="0.25">
      <c r="A822">
        <v>0</v>
      </c>
      <c r="E822">
        <v>822</v>
      </c>
      <c r="G822" t="str">
        <f t="shared" si="113"/>
        <v>8</v>
      </c>
      <c r="H822" t="str">
        <f t="shared" si="114"/>
        <v>2</v>
      </c>
      <c r="I822" t="str">
        <f t="shared" si="115"/>
        <v>2</v>
      </c>
      <c r="K822" t="str">
        <f t="shared" si="118"/>
        <v>8</v>
      </c>
      <c r="L822" t="str">
        <f t="shared" si="119"/>
        <v>2</v>
      </c>
      <c r="M822" t="str">
        <f t="shared" si="120"/>
        <v>2</v>
      </c>
      <c r="O822" s="69">
        <f t="shared" si="121"/>
        <v>12</v>
      </c>
      <c r="P822">
        <f t="shared" si="116"/>
        <v>72</v>
      </c>
      <c r="Q822" t="str">
        <f t="shared" si="117"/>
        <v xml:space="preserve"> </v>
      </c>
    </row>
    <row r="823" spans="1:17" x14ac:dyDescent="0.25">
      <c r="A823">
        <v>0</v>
      </c>
      <c r="E823">
        <v>823</v>
      </c>
      <c r="G823" t="str">
        <f t="shared" si="113"/>
        <v>8</v>
      </c>
      <c r="H823" t="str">
        <f t="shared" si="114"/>
        <v>2</v>
      </c>
      <c r="I823" t="str">
        <f t="shared" si="115"/>
        <v>3</v>
      </c>
      <c r="K823" t="str">
        <f t="shared" si="118"/>
        <v>8</v>
      </c>
      <c r="L823" t="str">
        <f t="shared" si="119"/>
        <v>2</v>
      </c>
      <c r="M823" t="str">
        <f t="shared" si="120"/>
        <v>3</v>
      </c>
      <c r="O823" s="69">
        <f t="shared" si="121"/>
        <v>13</v>
      </c>
      <c r="P823">
        <f t="shared" si="116"/>
        <v>78</v>
      </c>
      <c r="Q823" t="str">
        <f t="shared" si="117"/>
        <v xml:space="preserve"> </v>
      </c>
    </row>
    <row r="824" spans="1:17" x14ac:dyDescent="0.25">
      <c r="A824">
        <v>0</v>
      </c>
      <c r="E824">
        <v>824</v>
      </c>
      <c r="G824" t="str">
        <f t="shared" si="113"/>
        <v>8</v>
      </c>
      <c r="H824" t="str">
        <f t="shared" si="114"/>
        <v>2</v>
      </c>
      <c r="I824" t="str">
        <f t="shared" si="115"/>
        <v>4</v>
      </c>
      <c r="K824" t="str">
        <f t="shared" si="118"/>
        <v>8</v>
      </c>
      <c r="L824" t="str">
        <f t="shared" si="119"/>
        <v>2</v>
      </c>
      <c r="M824" t="str">
        <f t="shared" si="120"/>
        <v>4</v>
      </c>
      <c r="O824" s="69">
        <f t="shared" si="121"/>
        <v>14</v>
      </c>
      <c r="P824">
        <f t="shared" si="116"/>
        <v>84</v>
      </c>
      <c r="Q824" t="str">
        <f t="shared" si="117"/>
        <v xml:space="preserve"> </v>
      </c>
    </row>
    <row r="825" spans="1:17" x14ac:dyDescent="0.25">
      <c r="A825">
        <v>0</v>
      </c>
      <c r="E825">
        <v>825</v>
      </c>
      <c r="G825" t="str">
        <f t="shared" si="113"/>
        <v>8</v>
      </c>
      <c r="H825" t="str">
        <f t="shared" si="114"/>
        <v>2</v>
      </c>
      <c r="I825" t="str">
        <f t="shared" si="115"/>
        <v>5</v>
      </c>
      <c r="K825" t="str">
        <f t="shared" si="118"/>
        <v>8</v>
      </c>
      <c r="L825" t="str">
        <f t="shared" si="119"/>
        <v>2</v>
      </c>
      <c r="M825" t="str">
        <f t="shared" si="120"/>
        <v>5</v>
      </c>
      <c r="O825" s="69">
        <f t="shared" si="121"/>
        <v>15</v>
      </c>
      <c r="P825">
        <f t="shared" si="116"/>
        <v>90</v>
      </c>
      <c r="Q825" t="str">
        <f t="shared" si="117"/>
        <v xml:space="preserve"> </v>
      </c>
    </row>
    <row r="826" spans="1:17" x14ac:dyDescent="0.25">
      <c r="A826">
        <v>0</v>
      </c>
      <c r="E826">
        <v>826</v>
      </c>
      <c r="G826" t="str">
        <f t="shared" si="113"/>
        <v>8</v>
      </c>
      <c r="H826" t="str">
        <f t="shared" si="114"/>
        <v>2</v>
      </c>
      <c r="I826" t="str">
        <f t="shared" si="115"/>
        <v>6</v>
      </c>
      <c r="K826" t="str">
        <f t="shared" si="118"/>
        <v>8</v>
      </c>
      <c r="L826" t="str">
        <f t="shared" si="119"/>
        <v>2</v>
      </c>
      <c r="M826" t="str">
        <f t="shared" si="120"/>
        <v>6</v>
      </c>
      <c r="O826" s="69">
        <f t="shared" si="121"/>
        <v>16</v>
      </c>
      <c r="P826">
        <f t="shared" si="116"/>
        <v>96</v>
      </c>
      <c r="Q826" t="str">
        <f t="shared" si="117"/>
        <v xml:space="preserve"> </v>
      </c>
    </row>
    <row r="827" spans="1:17" x14ac:dyDescent="0.25">
      <c r="A827">
        <v>0</v>
      </c>
      <c r="E827">
        <v>827</v>
      </c>
      <c r="G827" t="str">
        <f t="shared" si="113"/>
        <v>8</v>
      </c>
      <c r="H827" t="str">
        <f t="shared" si="114"/>
        <v>2</v>
      </c>
      <c r="I827" t="str">
        <f t="shared" si="115"/>
        <v>7</v>
      </c>
      <c r="K827" t="str">
        <f t="shared" si="118"/>
        <v>8</v>
      </c>
      <c r="L827" t="str">
        <f t="shared" si="119"/>
        <v>2</v>
      </c>
      <c r="M827" t="str">
        <f t="shared" si="120"/>
        <v>7</v>
      </c>
      <c r="O827" s="69">
        <f t="shared" si="121"/>
        <v>17</v>
      </c>
      <c r="P827">
        <f t="shared" si="116"/>
        <v>102</v>
      </c>
      <c r="Q827" t="str">
        <f t="shared" si="117"/>
        <v xml:space="preserve"> </v>
      </c>
    </row>
    <row r="828" spans="1:17" x14ac:dyDescent="0.25">
      <c r="A828">
        <v>0</v>
      </c>
      <c r="E828">
        <v>828</v>
      </c>
      <c r="G828" t="str">
        <f t="shared" si="113"/>
        <v>8</v>
      </c>
      <c r="H828" t="str">
        <f t="shared" si="114"/>
        <v>2</v>
      </c>
      <c r="I828" t="str">
        <f t="shared" si="115"/>
        <v>8</v>
      </c>
      <c r="K828" t="str">
        <f t="shared" si="118"/>
        <v>8</v>
      </c>
      <c r="L828" t="str">
        <f t="shared" si="119"/>
        <v>2</v>
      </c>
      <c r="M828" t="str">
        <f t="shared" si="120"/>
        <v>8</v>
      </c>
      <c r="O828" s="69">
        <f t="shared" si="121"/>
        <v>18</v>
      </c>
      <c r="P828">
        <f t="shared" si="116"/>
        <v>108</v>
      </c>
      <c r="Q828" t="str">
        <f t="shared" si="117"/>
        <v xml:space="preserve"> </v>
      </c>
    </row>
    <row r="829" spans="1:17" x14ac:dyDescent="0.25">
      <c r="A829">
        <v>0</v>
      </c>
      <c r="E829">
        <v>829</v>
      </c>
      <c r="G829" t="str">
        <f t="shared" si="113"/>
        <v>8</v>
      </c>
      <c r="H829" t="str">
        <f t="shared" si="114"/>
        <v>2</v>
      </c>
      <c r="I829" t="str">
        <f t="shared" si="115"/>
        <v>9</v>
      </c>
      <c r="K829" t="str">
        <f t="shared" si="118"/>
        <v>8</v>
      </c>
      <c r="L829" t="str">
        <f t="shared" si="119"/>
        <v>2</v>
      </c>
      <c r="M829" t="str">
        <f t="shared" si="120"/>
        <v>9</v>
      </c>
      <c r="O829" s="69">
        <f t="shared" si="121"/>
        <v>19</v>
      </c>
      <c r="P829">
        <f t="shared" si="116"/>
        <v>114</v>
      </c>
      <c r="Q829" t="str">
        <f t="shared" si="117"/>
        <v xml:space="preserve"> </v>
      </c>
    </row>
    <row r="830" spans="1:17" x14ac:dyDescent="0.25">
      <c r="A830">
        <v>0</v>
      </c>
      <c r="E830">
        <v>830</v>
      </c>
      <c r="G830" t="str">
        <f t="shared" si="113"/>
        <v>8</v>
      </c>
      <c r="H830" t="str">
        <f t="shared" si="114"/>
        <v>3</v>
      </c>
      <c r="I830" t="str">
        <f t="shared" si="115"/>
        <v>0</v>
      </c>
      <c r="K830" t="str">
        <f t="shared" si="118"/>
        <v>8</v>
      </c>
      <c r="L830" t="str">
        <f t="shared" si="119"/>
        <v>3</v>
      </c>
      <c r="M830" t="str">
        <f t="shared" si="120"/>
        <v>0</v>
      </c>
      <c r="O830" s="69">
        <f t="shared" si="121"/>
        <v>11</v>
      </c>
      <c r="P830">
        <f t="shared" si="116"/>
        <v>66</v>
      </c>
      <c r="Q830" t="str">
        <f t="shared" si="117"/>
        <v xml:space="preserve"> </v>
      </c>
    </row>
    <row r="831" spans="1:17" x14ac:dyDescent="0.25">
      <c r="A831">
        <v>0</v>
      </c>
      <c r="E831">
        <v>831</v>
      </c>
      <c r="G831" t="str">
        <f t="shared" si="113"/>
        <v>8</v>
      </c>
      <c r="H831" t="str">
        <f t="shared" si="114"/>
        <v>3</v>
      </c>
      <c r="I831" t="str">
        <f t="shared" si="115"/>
        <v>1</v>
      </c>
      <c r="K831" t="str">
        <f t="shared" si="118"/>
        <v>8</v>
      </c>
      <c r="L831" t="str">
        <f t="shared" si="119"/>
        <v>3</v>
      </c>
      <c r="M831" t="str">
        <f t="shared" si="120"/>
        <v>1</v>
      </c>
      <c r="O831" s="69">
        <f t="shared" si="121"/>
        <v>12</v>
      </c>
      <c r="P831">
        <f t="shared" si="116"/>
        <v>72</v>
      </c>
      <c r="Q831" t="str">
        <f t="shared" si="117"/>
        <v xml:space="preserve"> </v>
      </c>
    </row>
    <row r="832" spans="1:17" x14ac:dyDescent="0.25">
      <c r="A832">
        <v>0</v>
      </c>
      <c r="E832">
        <v>832</v>
      </c>
      <c r="G832" t="str">
        <f t="shared" si="113"/>
        <v>8</v>
      </c>
      <c r="H832" t="str">
        <f t="shared" si="114"/>
        <v>3</v>
      </c>
      <c r="I832" t="str">
        <f t="shared" si="115"/>
        <v>2</v>
      </c>
      <c r="K832" t="str">
        <f t="shared" si="118"/>
        <v>8</v>
      </c>
      <c r="L832" t="str">
        <f t="shared" si="119"/>
        <v>3</v>
      </c>
      <c r="M832" t="str">
        <f t="shared" si="120"/>
        <v>2</v>
      </c>
      <c r="O832" s="69">
        <f t="shared" si="121"/>
        <v>13</v>
      </c>
      <c r="P832">
        <f t="shared" si="116"/>
        <v>78</v>
      </c>
      <c r="Q832" t="str">
        <f t="shared" si="117"/>
        <v xml:space="preserve"> </v>
      </c>
    </row>
    <row r="833" spans="1:17" x14ac:dyDescent="0.25">
      <c r="A833">
        <v>0</v>
      </c>
      <c r="E833">
        <v>833</v>
      </c>
      <c r="G833" t="str">
        <f t="shared" si="113"/>
        <v>8</v>
      </c>
      <c r="H833" t="str">
        <f t="shared" si="114"/>
        <v>3</v>
      </c>
      <c r="I833" t="str">
        <f t="shared" si="115"/>
        <v>3</v>
      </c>
      <c r="K833" t="str">
        <f t="shared" si="118"/>
        <v>8</v>
      </c>
      <c r="L833" t="str">
        <f t="shared" si="119"/>
        <v>3</v>
      </c>
      <c r="M833" t="str">
        <f t="shared" si="120"/>
        <v>3</v>
      </c>
      <c r="O833" s="69">
        <f t="shared" si="121"/>
        <v>14</v>
      </c>
      <c r="P833">
        <f t="shared" si="116"/>
        <v>84</v>
      </c>
      <c r="Q833" t="str">
        <f t="shared" si="117"/>
        <v xml:space="preserve"> </v>
      </c>
    </row>
    <row r="834" spans="1:17" x14ac:dyDescent="0.25">
      <c r="A834">
        <v>0</v>
      </c>
      <c r="E834">
        <v>834</v>
      </c>
      <c r="G834" t="str">
        <f t="shared" ref="G834:G897" si="122">+MID(E834,1,1)</f>
        <v>8</v>
      </c>
      <c r="H834" t="str">
        <f t="shared" ref="H834:H897" si="123">+MID(E834,2,1)</f>
        <v>3</v>
      </c>
      <c r="I834" t="str">
        <f t="shared" ref="I834:I897" si="124">+MID(E834,3,1)</f>
        <v>4</v>
      </c>
      <c r="K834" t="str">
        <f t="shared" si="118"/>
        <v>8</v>
      </c>
      <c r="L834" t="str">
        <f t="shared" si="119"/>
        <v>3</v>
      </c>
      <c r="M834" t="str">
        <f t="shared" si="120"/>
        <v>4</v>
      </c>
      <c r="O834" s="69">
        <f t="shared" si="121"/>
        <v>15</v>
      </c>
      <c r="P834">
        <f t="shared" ref="P834:P897" si="125">+O834*6</f>
        <v>90</v>
      </c>
      <c r="Q834" t="str">
        <f t="shared" ref="Q834:Q897" si="126">+IF(P834=E834,"OK"," ")</f>
        <v xml:space="preserve"> </v>
      </c>
    </row>
    <row r="835" spans="1:17" x14ac:dyDescent="0.25">
      <c r="A835">
        <v>0</v>
      </c>
      <c r="E835">
        <v>835</v>
      </c>
      <c r="G835" t="str">
        <f t="shared" si="122"/>
        <v>8</v>
      </c>
      <c r="H835" t="str">
        <f t="shared" si="123"/>
        <v>3</v>
      </c>
      <c r="I835" t="str">
        <f t="shared" si="124"/>
        <v>5</v>
      </c>
      <c r="K835" t="str">
        <f t="shared" si="118"/>
        <v>8</v>
      </c>
      <c r="L835" t="str">
        <f t="shared" si="119"/>
        <v>3</v>
      </c>
      <c r="M835" t="str">
        <f t="shared" si="120"/>
        <v>5</v>
      </c>
      <c r="O835" s="69">
        <f t="shared" si="121"/>
        <v>16</v>
      </c>
      <c r="P835">
        <f t="shared" si="125"/>
        <v>96</v>
      </c>
      <c r="Q835" t="str">
        <f t="shared" si="126"/>
        <v xml:space="preserve"> </v>
      </c>
    </row>
    <row r="836" spans="1:17" x14ac:dyDescent="0.25">
      <c r="A836">
        <v>0</v>
      </c>
      <c r="E836">
        <v>836</v>
      </c>
      <c r="G836" t="str">
        <f t="shared" si="122"/>
        <v>8</v>
      </c>
      <c r="H836" t="str">
        <f t="shared" si="123"/>
        <v>3</v>
      </c>
      <c r="I836" t="str">
        <f t="shared" si="124"/>
        <v>6</v>
      </c>
      <c r="K836" t="str">
        <f t="shared" si="118"/>
        <v>8</v>
      </c>
      <c r="L836" t="str">
        <f t="shared" si="119"/>
        <v>3</v>
      </c>
      <c r="M836" t="str">
        <f t="shared" si="120"/>
        <v>6</v>
      </c>
      <c r="O836" s="69">
        <f t="shared" si="121"/>
        <v>17</v>
      </c>
      <c r="P836">
        <f t="shared" si="125"/>
        <v>102</v>
      </c>
      <c r="Q836" t="str">
        <f t="shared" si="126"/>
        <v xml:space="preserve"> </v>
      </c>
    </row>
    <row r="837" spans="1:17" x14ac:dyDescent="0.25">
      <c r="A837">
        <v>0</v>
      </c>
      <c r="E837">
        <v>837</v>
      </c>
      <c r="G837" t="str">
        <f t="shared" si="122"/>
        <v>8</v>
      </c>
      <c r="H837" t="str">
        <f t="shared" si="123"/>
        <v>3</v>
      </c>
      <c r="I837" t="str">
        <f t="shared" si="124"/>
        <v>7</v>
      </c>
      <c r="K837" t="str">
        <f t="shared" si="118"/>
        <v>8</v>
      </c>
      <c r="L837" t="str">
        <f t="shared" si="119"/>
        <v>3</v>
      </c>
      <c r="M837" t="str">
        <f t="shared" si="120"/>
        <v>7</v>
      </c>
      <c r="O837" s="69">
        <f t="shared" si="121"/>
        <v>18</v>
      </c>
      <c r="P837">
        <f t="shared" si="125"/>
        <v>108</v>
      </c>
      <c r="Q837" t="str">
        <f t="shared" si="126"/>
        <v xml:space="preserve"> </v>
      </c>
    </row>
    <row r="838" spans="1:17" x14ac:dyDescent="0.25">
      <c r="A838">
        <v>0</v>
      </c>
      <c r="E838">
        <v>838</v>
      </c>
      <c r="G838" t="str">
        <f t="shared" si="122"/>
        <v>8</v>
      </c>
      <c r="H838" t="str">
        <f t="shared" si="123"/>
        <v>3</v>
      </c>
      <c r="I838" t="str">
        <f t="shared" si="124"/>
        <v>8</v>
      </c>
      <c r="K838" t="str">
        <f t="shared" si="118"/>
        <v>8</v>
      </c>
      <c r="L838" t="str">
        <f t="shared" si="119"/>
        <v>3</v>
      </c>
      <c r="M838" t="str">
        <f t="shared" si="120"/>
        <v>8</v>
      </c>
      <c r="O838" s="69">
        <f t="shared" si="121"/>
        <v>19</v>
      </c>
      <c r="P838">
        <f t="shared" si="125"/>
        <v>114</v>
      </c>
      <c r="Q838" t="str">
        <f t="shared" si="126"/>
        <v xml:space="preserve"> </v>
      </c>
    </row>
    <row r="839" spans="1:17" x14ac:dyDescent="0.25">
      <c r="A839">
        <v>0</v>
      </c>
      <c r="E839">
        <v>839</v>
      </c>
      <c r="G839" t="str">
        <f t="shared" si="122"/>
        <v>8</v>
      </c>
      <c r="H839" t="str">
        <f t="shared" si="123"/>
        <v>3</v>
      </c>
      <c r="I839" t="str">
        <f t="shared" si="124"/>
        <v>9</v>
      </c>
      <c r="K839" t="str">
        <f t="shared" si="118"/>
        <v>8</v>
      </c>
      <c r="L839" t="str">
        <f t="shared" si="119"/>
        <v>3</v>
      </c>
      <c r="M839" t="str">
        <f t="shared" si="120"/>
        <v>9</v>
      </c>
      <c r="O839" s="69">
        <f t="shared" si="121"/>
        <v>20</v>
      </c>
      <c r="P839">
        <f t="shared" si="125"/>
        <v>120</v>
      </c>
      <c r="Q839" t="str">
        <f t="shared" si="126"/>
        <v xml:space="preserve"> </v>
      </c>
    </row>
    <row r="840" spans="1:17" x14ac:dyDescent="0.25">
      <c r="A840">
        <v>0</v>
      </c>
      <c r="E840">
        <v>840</v>
      </c>
      <c r="G840" t="str">
        <f t="shared" si="122"/>
        <v>8</v>
      </c>
      <c r="H840" t="str">
        <f t="shared" si="123"/>
        <v>4</v>
      </c>
      <c r="I840" t="str">
        <f t="shared" si="124"/>
        <v>0</v>
      </c>
      <c r="K840" t="str">
        <f t="shared" si="118"/>
        <v>8</v>
      </c>
      <c r="L840" t="str">
        <f t="shared" si="119"/>
        <v>4</v>
      </c>
      <c r="M840" t="str">
        <f t="shared" si="120"/>
        <v>0</v>
      </c>
      <c r="O840" s="69">
        <f t="shared" si="121"/>
        <v>12</v>
      </c>
      <c r="P840">
        <f t="shared" si="125"/>
        <v>72</v>
      </c>
      <c r="Q840" t="str">
        <f t="shared" si="126"/>
        <v xml:space="preserve"> </v>
      </c>
    </row>
    <row r="841" spans="1:17" x14ac:dyDescent="0.25">
      <c r="A841">
        <v>0</v>
      </c>
      <c r="E841">
        <v>841</v>
      </c>
      <c r="G841" t="str">
        <f t="shared" si="122"/>
        <v>8</v>
      </c>
      <c r="H841" t="str">
        <f t="shared" si="123"/>
        <v>4</v>
      </c>
      <c r="I841" t="str">
        <f t="shared" si="124"/>
        <v>1</v>
      </c>
      <c r="K841" t="str">
        <f t="shared" si="118"/>
        <v>8</v>
      </c>
      <c r="L841" t="str">
        <f t="shared" si="119"/>
        <v>4</v>
      </c>
      <c r="M841" t="str">
        <f t="shared" si="120"/>
        <v>1</v>
      </c>
      <c r="O841" s="69">
        <f t="shared" si="121"/>
        <v>13</v>
      </c>
      <c r="P841">
        <f t="shared" si="125"/>
        <v>78</v>
      </c>
      <c r="Q841" t="str">
        <f t="shared" si="126"/>
        <v xml:space="preserve"> </v>
      </c>
    </row>
    <row r="842" spans="1:17" x14ac:dyDescent="0.25">
      <c r="A842">
        <v>0</v>
      </c>
      <c r="E842">
        <v>842</v>
      </c>
      <c r="G842" t="str">
        <f t="shared" si="122"/>
        <v>8</v>
      </c>
      <c r="H842" t="str">
        <f t="shared" si="123"/>
        <v>4</v>
      </c>
      <c r="I842" t="str">
        <f t="shared" si="124"/>
        <v>2</v>
      </c>
      <c r="K842" t="str">
        <f t="shared" si="118"/>
        <v>8</v>
      </c>
      <c r="L842" t="str">
        <f t="shared" si="119"/>
        <v>4</v>
      </c>
      <c r="M842" t="str">
        <f t="shared" si="120"/>
        <v>2</v>
      </c>
      <c r="O842" s="69">
        <f t="shared" si="121"/>
        <v>14</v>
      </c>
      <c r="P842">
        <f t="shared" si="125"/>
        <v>84</v>
      </c>
      <c r="Q842" t="str">
        <f t="shared" si="126"/>
        <v xml:space="preserve"> </v>
      </c>
    </row>
    <row r="843" spans="1:17" x14ac:dyDescent="0.25">
      <c r="A843">
        <v>0</v>
      </c>
      <c r="E843">
        <v>843</v>
      </c>
      <c r="G843" t="str">
        <f t="shared" si="122"/>
        <v>8</v>
      </c>
      <c r="H843" t="str">
        <f t="shared" si="123"/>
        <v>4</v>
      </c>
      <c r="I843" t="str">
        <f t="shared" si="124"/>
        <v>3</v>
      </c>
      <c r="K843" t="str">
        <f t="shared" si="118"/>
        <v>8</v>
      </c>
      <c r="L843" t="str">
        <f t="shared" si="119"/>
        <v>4</v>
      </c>
      <c r="M843" t="str">
        <f t="shared" si="120"/>
        <v>3</v>
      </c>
      <c r="O843" s="69">
        <f t="shared" si="121"/>
        <v>15</v>
      </c>
      <c r="P843">
        <f t="shared" si="125"/>
        <v>90</v>
      </c>
      <c r="Q843" t="str">
        <f t="shared" si="126"/>
        <v xml:space="preserve"> </v>
      </c>
    </row>
    <row r="844" spans="1:17" x14ac:dyDescent="0.25">
      <c r="A844">
        <v>0</v>
      </c>
      <c r="E844">
        <v>844</v>
      </c>
      <c r="G844" t="str">
        <f t="shared" si="122"/>
        <v>8</v>
      </c>
      <c r="H844" t="str">
        <f t="shared" si="123"/>
        <v>4</v>
      </c>
      <c r="I844" t="str">
        <f t="shared" si="124"/>
        <v>4</v>
      </c>
      <c r="K844" t="str">
        <f t="shared" si="118"/>
        <v>8</v>
      </c>
      <c r="L844" t="str">
        <f t="shared" si="119"/>
        <v>4</v>
      </c>
      <c r="M844" t="str">
        <f t="shared" si="120"/>
        <v>4</v>
      </c>
      <c r="O844" s="69">
        <f t="shared" si="121"/>
        <v>16</v>
      </c>
      <c r="P844">
        <f t="shared" si="125"/>
        <v>96</v>
      </c>
      <c r="Q844" t="str">
        <f t="shared" si="126"/>
        <v xml:space="preserve"> </v>
      </c>
    </row>
    <row r="845" spans="1:17" x14ac:dyDescent="0.25">
      <c r="A845">
        <v>0</v>
      </c>
      <c r="E845">
        <v>845</v>
      </c>
      <c r="G845" t="str">
        <f t="shared" si="122"/>
        <v>8</v>
      </c>
      <c r="H845" t="str">
        <f t="shared" si="123"/>
        <v>4</v>
      </c>
      <c r="I845" t="str">
        <f t="shared" si="124"/>
        <v>5</v>
      </c>
      <c r="K845" t="str">
        <f t="shared" si="118"/>
        <v>8</v>
      </c>
      <c r="L845" t="str">
        <f t="shared" si="119"/>
        <v>4</v>
      </c>
      <c r="M845" t="str">
        <f t="shared" si="120"/>
        <v>5</v>
      </c>
      <c r="O845" s="69">
        <f t="shared" si="121"/>
        <v>17</v>
      </c>
      <c r="P845">
        <f t="shared" si="125"/>
        <v>102</v>
      </c>
      <c r="Q845" t="str">
        <f t="shared" si="126"/>
        <v xml:space="preserve"> </v>
      </c>
    </row>
    <row r="846" spans="1:17" x14ac:dyDescent="0.25">
      <c r="A846">
        <v>0</v>
      </c>
      <c r="E846">
        <v>846</v>
      </c>
      <c r="G846" t="str">
        <f t="shared" si="122"/>
        <v>8</v>
      </c>
      <c r="H846" t="str">
        <f t="shared" si="123"/>
        <v>4</v>
      </c>
      <c r="I846" t="str">
        <f t="shared" si="124"/>
        <v>6</v>
      </c>
      <c r="K846" t="str">
        <f t="shared" si="118"/>
        <v>8</v>
      </c>
      <c r="L846" t="str">
        <f t="shared" si="119"/>
        <v>4</v>
      </c>
      <c r="M846" t="str">
        <f t="shared" si="120"/>
        <v>6</v>
      </c>
      <c r="O846" s="69">
        <f t="shared" si="121"/>
        <v>18</v>
      </c>
      <c r="P846">
        <f t="shared" si="125"/>
        <v>108</v>
      </c>
      <c r="Q846" t="str">
        <f t="shared" si="126"/>
        <v xml:space="preserve"> </v>
      </c>
    </row>
    <row r="847" spans="1:17" x14ac:dyDescent="0.25">
      <c r="A847">
        <v>0</v>
      </c>
      <c r="E847">
        <v>847</v>
      </c>
      <c r="G847" t="str">
        <f t="shared" si="122"/>
        <v>8</v>
      </c>
      <c r="H847" t="str">
        <f t="shared" si="123"/>
        <v>4</v>
      </c>
      <c r="I847" t="str">
        <f t="shared" si="124"/>
        <v>7</v>
      </c>
      <c r="K847" t="str">
        <f t="shared" si="118"/>
        <v>8</v>
      </c>
      <c r="L847" t="str">
        <f t="shared" si="119"/>
        <v>4</v>
      </c>
      <c r="M847" t="str">
        <f t="shared" si="120"/>
        <v>7</v>
      </c>
      <c r="O847" s="69">
        <f t="shared" si="121"/>
        <v>19</v>
      </c>
      <c r="P847">
        <f t="shared" si="125"/>
        <v>114</v>
      </c>
      <c r="Q847" t="str">
        <f t="shared" si="126"/>
        <v xml:space="preserve"> </v>
      </c>
    </row>
    <row r="848" spans="1:17" x14ac:dyDescent="0.25">
      <c r="A848">
        <v>0</v>
      </c>
      <c r="E848">
        <v>848</v>
      </c>
      <c r="G848" t="str">
        <f t="shared" si="122"/>
        <v>8</v>
      </c>
      <c r="H848" t="str">
        <f t="shared" si="123"/>
        <v>4</v>
      </c>
      <c r="I848" t="str">
        <f t="shared" si="124"/>
        <v>8</v>
      </c>
      <c r="K848" t="str">
        <f t="shared" si="118"/>
        <v>8</v>
      </c>
      <c r="L848" t="str">
        <f t="shared" si="119"/>
        <v>4</v>
      </c>
      <c r="M848" t="str">
        <f t="shared" si="120"/>
        <v>8</v>
      </c>
      <c r="O848" s="69">
        <f t="shared" si="121"/>
        <v>20</v>
      </c>
      <c r="P848">
        <f t="shared" si="125"/>
        <v>120</v>
      </c>
      <c r="Q848" t="str">
        <f t="shared" si="126"/>
        <v xml:space="preserve"> </v>
      </c>
    </row>
    <row r="849" spans="1:17" x14ac:dyDescent="0.25">
      <c r="A849">
        <v>0</v>
      </c>
      <c r="E849">
        <v>849</v>
      </c>
      <c r="G849" t="str">
        <f t="shared" si="122"/>
        <v>8</v>
      </c>
      <c r="H849" t="str">
        <f t="shared" si="123"/>
        <v>4</v>
      </c>
      <c r="I849" t="str">
        <f t="shared" si="124"/>
        <v>9</v>
      </c>
      <c r="K849" t="str">
        <f t="shared" si="118"/>
        <v>8</v>
      </c>
      <c r="L849" t="str">
        <f t="shared" si="119"/>
        <v>4</v>
      </c>
      <c r="M849" t="str">
        <f t="shared" si="120"/>
        <v>9</v>
      </c>
      <c r="O849" s="69">
        <f t="shared" si="121"/>
        <v>21</v>
      </c>
      <c r="P849">
        <f t="shared" si="125"/>
        <v>126</v>
      </c>
      <c r="Q849" t="str">
        <f t="shared" si="126"/>
        <v xml:space="preserve"> </v>
      </c>
    </row>
    <row r="850" spans="1:17" x14ac:dyDescent="0.25">
      <c r="A850">
        <v>0</v>
      </c>
      <c r="E850">
        <v>850</v>
      </c>
      <c r="G850" t="str">
        <f t="shared" si="122"/>
        <v>8</v>
      </c>
      <c r="H850" t="str">
        <f t="shared" si="123"/>
        <v>5</v>
      </c>
      <c r="I850" t="str">
        <f t="shared" si="124"/>
        <v>0</v>
      </c>
      <c r="K850" t="str">
        <f t="shared" ref="K850:K913" si="127">+G850</f>
        <v>8</v>
      </c>
      <c r="L850" t="str">
        <f t="shared" ref="L850:L913" si="128">+H850</f>
        <v>5</v>
      </c>
      <c r="M850" t="str">
        <f t="shared" ref="M850:M913" si="129">+I850</f>
        <v>0</v>
      </c>
      <c r="O850" s="69">
        <f t="shared" si="121"/>
        <v>13</v>
      </c>
      <c r="P850">
        <f t="shared" si="125"/>
        <v>78</v>
      </c>
      <c r="Q850" t="str">
        <f t="shared" si="126"/>
        <v xml:space="preserve"> </v>
      </c>
    </row>
    <row r="851" spans="1:17" x14ac:dyDescent="0.25">
      <c r="A851">
        <v>0</v>
      </c>
      <c r="E851">
        <v>851</v>
      </c>
      <c r="G851" t="str">
        <f t="shared" si="122"/>
        <v>8</v>
      </c>
      <c r="H851" t="str">
        <f t="shared" si="123"/>
        <v>5</v>
      </c>
      <c r="I851" t="str">
        <f t="shared" si="124"/>
        <v>1</v>
      </c>
      <c r="K851" t="str">
        <f t="shared" si="127"/>
        <v>8</v>
      </c>
      <c r="L851" t="str">
        <f t="shared" si="128"/>
        <v>5</v>
      </c>
      <c r="M851" t="str">
        <f t="shared" si="129"/>
        <v>1</v>
      </c>
      <c r="O851" s="69">
        <f t="shared" si="121"/>
        <v>14</v>
      </c>
      <c r="P851">
        <f t="shared" si="125"/>
        <v>84</v>
      </c>
      <c r="Q851" t="str">
        <f t="shared" si="126"/>
        <v xml:space="preserve"> </v>
      </c>
    </row>
    <row r="852" spans="1:17" x14ac:dyDescent="0.25">
      <c r="A852">
        <v>0</v>
      </c>
      <c r="E852">
        <v>852</v>
      </c>
      <c r="G852" t="str">
        <f t="shared" si="122"/>
        <v>8</v>
      </c>
      <c r="H852" t="str">
        <f t="shared" si="123"/>
        <v>5</v>
      </c>
      <c r="I852" t="str">
        <f t="shared" si="124"/>
        <v>2</v>
      </c>
      <c r="K852" t="str">
        <f t="shared" si="127"/>
        <v>8</v>
      </c>
      <c r="L852" t="str">
        <f t="shared" si="128"/>
        <v>5</v>
      </c>
      <c r="M852" t="str">
        <f t="shared" si="129"/>
        <v>2</v>
      </c>
      <c r="O852" s="69">
        <f t="shared" si="121"/>
        <v>15</v>
      </c>
      <c r="P852">
        <f t="shared" si="125"/>
        <v>90</v>
      </c>
      <c r="Q852" t="str">
        <f t="shared" si="126"/>
        <v xml:space="preserve"> </v>
      </c>
    </row>
    <row r="853" spans="1:17" x14ac:dyDescent="0.25">
      <c r="A853">
        <v>0</v>
      </c>
      <c r="E853">
        <v>853</v>
      </c>
      <c r="G853" t="str">
        <f t="shared" si="122"/>
        <v>8</v>
      </c>
      <c r="H853" t="str">
        <f t="shared" si="123"/>
        <v>5</v>
      </c>
      <c r="I853" t="str">
        <f t="shared" si="124"/>
        <v>3</v>
      </c>
      <c r="K853" t="str">
        <f t="shared" si="127"/>
        <v>8</v>
      </c>
      <c r="L853" t="str">
        <f t="shared" si="128"/>
        <v>5</v>
      </c>
      <c r="M853" t="str">
        <f t="shared" si="129"/>
        <v>3</v>
      </c>
      <c r="O853" s="69">
        <f t="shared" si="121"/>
        <v>16</v>
      </c>
      <c r="P853">
        <f t="shared" si="125"/>
        <v>96</v>
      </c>
      <c r="Q853" t="str">
        <f t="shared" si="126"/>
        <v xml:space="preserve"> </v>
      </c>
    </row>
    <row r="854" spans="1:17" x14ac:dyDescent="0.25">
      <c r="A854">
        <v>0</v>
      </c>
      <c r="E854">
        <v>854</v>
      </c>
      <c r="G854" t="str">
        <f t="shared" si="122"/>
        <v>8</v>
      </c>
      <c r="H854" t="str">
        <f t="shared" si="123"/>
        <v>5</v>
      </c>
      <c r="I854" t="str">
        <f t="shared" si="124"/>
        <v>4</v>
      </c>
      <c r="K854" t="str">
        <f t="shared" si="127"/>
        <v>8</v>
      </c>
      <c r="L854" t="str">
        <f t="shared" si="128"/>
        <v>5</v>
      </c>
      <c r="M854" t="str">
        <f t="shared" si="129"/>
        <v>4</v>
      </c>
      <c r="O854" s="69">
        <f t="shared" si="121"/>
        <v>17</v>
      </c>
      <c r="P854">
        <f t="shared" si="125"/>
        <v>102</v>
      </c>
      <c r="Q854" t="str">
        <f t="shared" si="126"/>
        <v xml:space="preserve"> </v>
      </c>
    </row>
    <row r="855" spans="1:17" x14ac:dyDescent="0.25">
      <c r="A855">
        <v>0</v>
      </c>
      <c r="E855">
        <v>855</v>
      </c>
      <c r="G855" t="str">
        <f t="shared" si="122"/>
        <v>8</v>
      </c>
      <c r="H855" t="str">
        <f t="shared" si="123"/>
        <v>5</v>
      </c>
      <c r="I855" t="str">
        <f t="shared" si="124"/>
        <v>5</v>
      </c>
      <c r="K855" t="str">
        <f t="shared" si="127"/>
        <v>8</v>
      </c>
      <c r="L855" t="str">
        <f t="shared" si="128"/>
        <v>5</v>
      </c>
      <c r="M855" t="str">
        <f t="shared" si="129"/>
        <v>5</v>
      </c>
      <c r="O855" s="69">
        <f t="shared" si="121"/>
        <v>18</v>
      </c>
      <c r="P855">
        <f t="shared" si="125"/>
        <v>108</v>
      </c>
      <c r="Q855" t="str">
        <f t="shared" si="126"/>
        <v xml:space="preserve"> </v>
      </c>
    </row>
    <row r="856" spans="1:17" x14ac:dyDescent="0.25">
      <c r="A856">
        <v>0</v>
      </c>
      <c r="E856">
        <v>856</v>
      </c>
      <c r="G856" t="str">
        <f t="shared" si="122"/>
        <v>8</v>
      </c>
      <c r="H856" t="str">
        <f t="shared" si="123"/>
        <v>5</v>
      </c>
      <c r="I856" t="str">
        <f t="shared" si="124"/>
        <v>6</v>
      </c>
      <c r="K856" t="str">
        <f t="shared" si="127"/>
        <v>8</v>
      </c>
      <c r="L856" t="str">
        <f t="shared" si="128"/>
        <v>5</v>
      </c>
      <c r="M856" t="str">
        <f t="shared" si="129"/>
        <v>6</v>
      </c>
      <c r="O856" s="69">
        <f t="shared" si="121"/>
        <v>19</v>
      </c>
      <c r="P856">
        <f t="shared" si="125"/>
        <v>114</v>
      </c>
      <c r="Q856" t="str">
        <f t="shared" si="126"/>
        <v xml:space="preserve"> </v>
      </c>
    </row>
    <row r="857" spans="1:17" x14ac:dyDescent="0.25">
      <c r="A857">
        <v>0</v>
      </c>
      <c r="E857">
        <v>857</v>
      </c>
      <c r="G857" t="str">
        <f t="shared" si="122"/>
        <v>8</v>
      </c>
      <c r="H857" t="str">
        <f t="shared" si="123"/>
        <v>5</v>
      </c>
      <c r="I857" t="str">
        <f t="shared" si="124"/>
        <v>7</v>
      </c>
      <c r="K857" t="str">
        <f t="shared" si="127"/>
        <v>8</v>
      </c>
      <c r="L857" t="str">
        <f t="shared" si="128"/>
        <v>5</v>
      </c>
      <c r="M857" t="str">
        <f t="shared" si="129"/>
        <v>7</v>
      </c>
      <c r="O857" s="69">
        <f t="shared" si="121"/>
        <v>20</v>
      </c>
      <c r="P857">
        <f t="shared" si="125"/>
        <v>120</v>
      </c>
      <c r="Q857" t="str">
        <f t="shared" si="126"/>
        <v xml:space="preserve"> </v>
      </c>
    </row>
    <row r="858" spans="1:17" x14ac:dyDescent="0.25">
      <c r="A858">
        <v>0</v>
      </c>
      <c r="E858">
        <v>858</v>
      </c>
      <c r="G858" t="str">
        <f t="shared" si="122"/>
        <v>8</v>
      </c>
      <c r="H858" t="str">
        <f t="shared" si="123"/>
        <v>5</v>
      </c>
      <c r="I858" t="str">
        <f t="shared" si="124"/>
        <v>8</v>
      </c>
      <c r="K858" t="str">
        <f t="shared" si="127"/>
        <v>8</v>
      </c>
      <c r="L858" t="str">
        <f t="shared" si="128"/>
        <v>5</v>
      </c>
      <c r="M858" t="str">
        <f t="shared" si="129"/>
        <v>8</v>
      </c>
      <c r="O858" s="69">
        <f t="shared" si="121"/>
        <v>21</v>
      </c>
      <c r="P858">
        <f t="shared" si="125"/>
        <v>126</v>
      </c>
      <c r="Q858" t="str">
        <f t="shared" si="126"/>
        <v xml:space="preserve"> </v>
      </c>
    </row>
    <row r="859" spans="1:17" x14ac:dyDescent="0.25">
      <c r="A859">
        <v>0</v>
      </c>
      <c r="E859">
        <v>859</v>
      </c>
      <c r="G859" t="str">
        <f t="shared" si="122"/>
        <v>8</v>
      </c>
      <c r="H859" t="str">
        <f t="shared" si="123"/>
        <v>5</v>
      </c>
      <c r="I859" t="str">
        <f t="shared" si="124"/>
        <v>9</v>
      </c>
      <c r="K859" t="str">
        <f t="shared" si="127"/>
        <v>8</v>
      </c>
      <c r="L859" t="str">
        <f t="shared" si="128"/>
        <v>5</v>
      </c>
      <c r="M859" t="str">
        <f t="shared" si="129"/>
        <v>9</v>
      </c>
      <c r="O859" s="69">
        <f t="shared" si="121"/>
        <v>22</v>
      </c>
      <c r="P859">
        <f t="shared" si="125"/>
        <v>132</v>
      </c>
      <c r="Q859" t="str">
        <f t="shared" si="126"/>
        <v xml:space="preserve"> </v>
      </c>
    </row>
    <row r="860" spans="1:17" x14ac:dyDescent="0.25">
      <c r="A860">
        <v>0</v>
      </c>
      <c r="E860">
        <v>860</v>
      </c>
      <c r="G860" t="str">
        <f t="shared" si="122"/>
        <v>8</v>
      </c>
      <c r="H860" t="str">
        <f t="shared" si="123"/>
        <v>6</v>
      </c>
      <c r="I860" t="str">
        <f t="shared" si="124"/>
        <v>0</v>
      </c>
      <c r="K860" t="str">
        <f t="shared" si="127"/>
        <v>8</v>
      </c>
      <c r="L860" t="str">
        <f t="shared" si="128"/>
        <v>6</v>
      </c>
      <c r="M860" t="str">
        <f t="shared" si="129"/>
        <v>0</v>
      </c>
      <c r="O860" s="69">
        <f t="shared" si="121"/>
        <v>14</v>
      </c>
      <c r="P860">
        <f t="shared" si="125"/>
        <v>84</v>
      </c>
      <c r="Q860" t="str">
        <f t="shared" si="126"/>
        <v xml:space="preserve"> </v>
      </c>
    </row>
    <row r="861" spans="1:17" x14ac:dyDescent="0.25">
      <c r="A861">
        <v>0</v>
      </c>
      <c r="E861">
        <v>861</v>
      </c>
      <c r="G861" t="str">
        <f t="shared" si="122"/>
        <v>8</v>
      </c>
      <c r="H861" t="str">
        <f t="shared" si="123"/>
        <v>6</v>
      </c>
      <c r="I861" t="str">
        <f t="shared" si="124"/>
        <v>1</v>
      </c>
      <c r="K861" t="str">
        <f t="shared" si="127"/>
        <v>8</v>
      </c>
      <c r="L861" t="str">
        <f t="shared" si="128"/>
        <v>6</v>
      </c>
      <c r="M861" t="str">
        <f t="shared" si="129"/>
        <v>1</v>
      </c>
      <c r="O861" s="69">
        <f t="shared" si="121"/>
        <v>15</v>
      </c>
      <c r="P861">
        <f t="shared" si="125"/>
        <v>90</v>
      </c>
      <c r="Q861" t="str">
        <f t="shared" si="126"/>
        <v xml:space="preserve"> </v>
      </c>
    </row>
    <row r="862" spans="1:17" x14ac:dyDescent="0.25">
      <c r="A862">
        <v>0</v>
      </c>
      <c r="E862">
        <v>862</v>
      </c>
      <c r="G862" t="str">
        <f t="shared" si="122"/>
        <v>8</v>
      </c>
      <c r="H862" t="str">
        <f t="shared" si="123"/>
        <v>6</v>
      </c>
      <c r="I862" t="str">
        <f t="shared" si="124"/>
        <v>2</v>
      </c>
      <c r="K862" t="str">
        <f t="shared" si="127"/>
        <v>8</v>
      </c>
      <c r="L862" t="str">
        <f t="shared" si="128"/>
        <v>6</v>
      </c>
      <c r="M862" t="str">
        <f t="shared" si="129"/>
        <v>2</v>
      </c>
      <c r="O862" s="69">
        <f t="shared" si="121"/>
        <v>16</v>
      </c>
      <c r="P862">
        <f t="shared" si="125"/>
        <v>96</v>
      </c>
      <c r="Q862" t="str">
        <f t="shared" si="126"/>
        <v xml:space="preserve"> </v>
      </c>
    </row>
    <row r="863" spans="1:17" x14ac:dyDescent="0.25">
      <c r="A863">
        <v>0</v>
      </c>
      <c r="E863">
        <v>863</v>
      </c>
      <c r="G863" t="str">
        <f t="shared" si="122"/>
        <v>8</v>
      </c>
      <c r="H863" t="str">
        <f t="shared" si="123"/>
        <v>6</v>
      </c>
      <c r="I863" t="str">
        <f t="shared" si="124"/>
        <v>3</v>
      </c>
      <c r="K863" t="str">
        <f t="shared" si="127"/>
        <v>8</v>
      </c>
      <c r="L863" t="str">
        <f t="shared" si="128"/>
        <v>6</v>
      </c>
      <c r="M863" t="str">
        <f t="shared" si="129"/>
        <v>3</v>
      </c>
      <c r="O863" s="69">
        <f t="shared" si="121"/>
        <v>17</v>
      </c>
      <c r="P863">
        <f t="shared" si="125"/>
        <v>102</v>
      </c>
      <c r="Q863" t="str">
        <f t="shared" si="126"/>
        <v xml:space="preserve"> </v>
      </c>
    </row>
    <row r="864" spans="1:17" x14ac:dyDescent="0.25">
      <c r="A864">
        <v>0</v>
      </c>
      <c r="E864">
        <v>864</v>
      </c>
      <c r="G864" t="str">
        <f t="shared" si="122"/>
        <v>8</v>
      </c>
      <c r="H864" t="str">
        <f t="shared" si="123"/>
        <v>6</v>
      </c>
      <c r="I864" t="str">
        <f t="shared" si="124"/>
        <v>4</v>
      </c>
      <c r="K864" t="str">
        <f t="shared" si="127"/>
        <v>8</v>
      </c>
      <c r="L864" t="str">
        <f t="shared" si="128"/>
        <v>6</v>
      </c>
      <c r="M864" t="str">
        <f t="shared" si="129"/>
        <v>4</v>
      </c>
      <c r="O864" s="69">
        <f t="shared" si="121"/>
        <v>18</v>
      </c>
      <c r="P864">
        <f t="shared" si="125"/>
        <v>108</v>
      </c>
      <c r="Q864" t="str">
        <f t="shared" si="126"/>
        <v xml:space="preserve"> </v>
      </c>
    </row>
    <row r="865" spans="1:17" x14ac:dyDescent="0.25">
      <c r="A865">
        <v>0</v>
      </c>
      <c r="E865">
        <v>865</v>
      </c>
      <c r="G865" t="str">
        <f t="shared" si="122"/>
        <v>8</v>
      </c>
      <c r="H865" t="str">
        <f t="shared" si="123"/>
        <v>6</v>
      </c>
      <c r="I865" t="str">
        <f t="shared" si="124"/>
        <v>5</v>
      </c>
      <c r="K865" t="str">
        <f t="shared" si="127"/>
        <v>8</v>
      </c>
      <c r="L865" t="str">
        <f t="shared" si="128"/>
        <v>6</v>
      </c>
      <c r="M865" t="str">
        <f t="shared" si="129"/>
        <v>5</v>
      </c>
      <c r="O865" s="69">
        <f t="shared" si="121"/>
        <v>19</v>
      </c>
      <c r="P865">
        <f t="shared" si="125"/>
        <v>114</v>
      </c>
      <c r="Q865" t="str">
        <f t="shared" si="126"/>
        <v xml:space="preserve"> </v>
      </c>
    </row>
    <row r="866" spans="1:17" x14ac:dyDescent="0.25">
      <c r="A866">
        <v>0</v>
      </c>
      <c r="E866">
        <v>866</v>
      </c>
      <c r="G866" t="str">
        <f t="shared" si="122"/>
        <v>8</v>
      </c>
      <c r="H866" t="str">
        <f t="shared" si="123"/>
        <v>6</v>
      </c>
      <c r="I866" t="str">
        <f t="shared" si="124"/>
        <v>6</v>
      </c>
      <c r="K866" t="str">
        <f t="shared" si="127"/>
        <v>8</v>
      </c>
      <c r="L866" t="str">
        <f t="shared" si="128"/>
        <v>6</v>
      </c>
      <c r="M866" t="str">
        <f t="shared" si="129"/>
        <v>6</v>
      </c>
      <c r="O866" s="69">
        <f t="shared" si="121"/>
        <v>20</v>
      </c>
      <c r="P866">
        <f t="shared" si="125"/>
        <v>120</v>
      </c>
      <c r="Q866" t="str">
        <f t="shared" si="126"/>
        <v xml:space="preserve"> </v>
      </c>
    </row>
    <row r="867" spans="1:17" x14ac:dyDescent="0.25">
      <c r="A867">
        <v>0</v>
      </c>
      <c r="E867">
        <v>867</v>
      </c>
      <c r="G867" t="str">
        <f t="shared" si="122"/>
        <v>8</v>
      </c>
      <c r="H867" t="str">
        <f t="shared" si="123"/>
        <v>6</v>
      </c>
      <c r="I867" t="str">
        <f t="shared" si="124"/>
        <v>7</v>
      </c>
      <c r="K867" t="str">
        <f t="shared" si="127"/>
        <v>8</v>
      </c>
      <c r="L867" t="str">
        <f t="shared" si="128"/>
        <v>6</v>
      </c>
      <c r="M867" t="str">
        <f t="shared" si="129"/>
        <v>7</v>
      </c>
      <c r="O867" s="69">
        <f t="shared" si="121"/>
        <v>21</v>
      </c>
      <c r="P867">
        <f t="shared" si="125"/>
        <v>126</v>
      </c>
      <c r="Q867" t="str">
        <f t="shared" si="126"/>
        <v xml:space="preserve"> </v>
      </c>
    </row>
    <row r="868" spans="1:17" x14ac:dyDescent="0.25">
      <c r="A868">
        <v>0</v>
      </c>
      <c r="E868">
        <v>868</v>
      </c>
      <c r="G868" t="str">
        <f t="shared" si="122"/>
        <v>8</v>
      </c>
      <c r="H868" t="str">
        <f t="shared" si="123"/>
        <v>6</v>
      </c>
      <c r="I868" t="str">
        <f t="shared" si="124"/>
        <v>8</v>
      </c>
      <c r="K868" t="str">
        <f t="shared" si="127"/>
        <v>8</v>
      </c>
      <c r="L868" t="str">
        <f t="shared" si="128"/>
        <v>6</v>
      </c>
      <c r="M868" t="str">
        <f t="shared" si="129"/>
        <v>8</v>
      </c>
      <c r="O868" s="69">
        <f t="shared" si="121"/>
        <v>22</v>
      </c>
      <c r="P868">
        <f t="shared" si="125"/>
        <v>132</v>
      </c>
      <c r="Q868" t="str">
        <f t="shared" si="126"/>
        <v xml:space="preserve"> </v>
      </c>
    </row>
    <row r="869" spans="1:17" x14ac:dyDescent="0.25">
      <c r="A869">
        <v>0</v>
      </c>
      <c r="E869">
        <v>869</v>
      </c>
      <c r="G869" t="str">
        <f t="shared" si="122"/>
        <v>8</v>
      </c>
      <c r="H869" t="str">
        <f t="shared" si="123"/>
        <v>6</v>
      </c>
      <c r="I869" t="str">
        <f t="shared" si="124"/>
        <v>9</v>
      </c>
      <c r="K869" t="str">
        <f t="shared" si="127"/>
        <v>8</v>
      </c>
      <c r="L869" t="str">
        <f t="shared" si="128"/>
        <v>6</v>
      </c>
      <c r="M869" t="str">
        <f t="shared" si="129"/>
        <v>9</v>
      </c>
      <c r="O869" s="69">
        <f t="shared" ref="O869:O932" si="130">+K869+L869+M869</f>
        <v>23</v>
      </c>
      <c r="P869">
        <f t="shared" si="125"/>
        <v>138</v>
      </c>
      <c r="Q869" t="str">
        <f t="shared" si="126"/>
        <v xml:space="preserve"> </v>
      </c>
    </row>
    <row r="870" spans="1:17" x14ac:dyDescent="0.25">
      <c r="A870">
        <v>0</v>
      </c>
      <c r="E870">
        <v>870</v>
      </c>
      <c r="G870" t="str">
        <f t="shared" si="122"/>
        <v>8</v>
      </c>
      <c r="H870" t="str">
        <f t="shared" si="123"/>
        <v>7</v>
      </c>
      <c r="I870" t="str">
        <f t="shared" si="124"/>
        <v>0</v>
      </c>
      <c r="K870" t="str">
        <f t="shared" si="127"/>
        <v>8</v>
      </c>
      <c r="L870" t="str">
        <f t="shared" si="128"/>
        <v>7</v>
      </c>
      <c r="M870" t="str">
        <f t="shared" si="129"/>
        <v>0</v>
      </c>
      <c r="O870" s="69">
        <f t="shared" si="130"/>
        <v>15</v>
      </c>
      <c r="P870">
        <f t="shared" si="125"/>
        <v>90</v>
      </c>
      <c r="Q870" t="str">
        <f t="shared" si="126"/>
        <v xml:space="preserve"> </v>
      </c>
    </row>
    <row r="871" spans="1:17" x14ac:dyDescent="0.25">
      <c r="A871">
        <v>0</v>
      </c>
      <c r="E871">
        <v>871</v>
      </c>
      <c r="G871" t="str">
        <f t="shared" si="122"/>
        <v>8</v>
      </c>
      <c r="H871" t="str">
        <f t="shared" si="123"/>
        <v>7</v>
      </c>
      <c r="I871" t="str">
        <f t="shared" si="124"/>
        <v>1</v>
      </c>
      <c r="K871" t="str">
        <f t="shared" si="127"/>
        <v>8</v>
      </c>
      <c r="L871" t="str">
        <f t="shared" si="128"/>
        <v>7</v>
      </c>
      <c r="M871" t="str">
        <f t="shared" si="129"/>
        <v>1</v>
      </c>
      <c r="O871" s="69">
        <f t="shared" si="130"/>
        <v>16</v>
      </c>
      <c r="P871">
        <f t="shared" si="125"/>
        <v>96</v>
      </c>
      <c r="Q871" t="str">
        <f t="shared" si="126"/>
        <v xml:space="preserve"> </v>
      </c>
    </row>
    <row r="872" spans="1:17" x14ac:dyDescent="0.25">
      <c r="A872">
        <v>0</v>
      </c>
      <c r="E872">
        <v>872</v>
      </c>
      <c r="G872" t="str">
        <f t="shared" si="122"/>
        <v>8</v>
      </c>
      <c r="H872" t="str">
        <f t="shared" si="123"/>
        <v>7</v>
      </c>
      <c r="I872" t="str">
        <f t="shared" si="124"/>
        <v>2</v>
      </c>
      <c r="K872" t="str">
        <f t="shared" si="127"/>
        <v>8</v>
      </c>
      <c r="L872" t="str">
        <f t="shared" si="128"/>
        <v>7</v>
      </c>
      <c r="M872" t="str">
        <f t="shared" si="129"/>
        <v>2</v>
      </c>
      <c r="O872" s="69">
        <f t="shared" si="130"/>
        <v>17</v>
      </c>
      <c r="P872">
        <f t="shared" si="125"/>
        <v>102</v>
      </c>
      <c r="Q872" t="str">
        <f t="shared" si="126"/>
        <v xml:space="preserve"> </v>
      </c>
    </row>
    <row r="873" spans="1:17" x14ac:dyDescent="0.25">
      <c r="A873">
        <v>0</v>
      </c>
      <c r="E873">
        <v>873</v>
      </c>
      <c r="G873" t="str">
        <f t="shared" si="122"/>
        <v>8</v>
      </c>
      <c r="H873" t="str">
        <f t="shared" si="123"/>
        <v>7</v>
      </c>
      <c r="I873" t="str">
        <f t="shared" si="124"/>
        <v>3</v>
      </c>
      <c r="K873" t="str">
        <f t="shared" si="127"/>
        <v>8</v>
      </c>
      <c r="L873" t="str">
        <f t="shared" si="128"/>
        <v>7</v>
      </c>
      <c r="M873" t="str">
        <f t="shared" si="129"/>
        <v>3</v>
      </c>
      <c r="O873" s="69">
        <f t="shared" si="130"/>
        <v>18</v>
      </c>
      <c r="P873">
        <f t="shared" si="125"/>
        <v>108</v>
      </c>
      <c r="Q873" t="str">
        <f t="shared" si="126"/>
        <v xml:space="preserve"> </v>
      </c>
    </row>
    <row r="874" spans="1:17" x14ac:dyDescent="0.25">
      <c r="A874">
        <v>0</v>
      </c>
      <c r="E874">
        <v>874</v>
      </c>
      <c r="G874" t="str">
        <f t="shared" si="122"/>
        <v>8</v>
      </c>
      <c r="H874" t="str">
        <f t="shared" si="123"/>
        <v>7</v>
      </c>
      <c r="I874" t="str">
        <f t="shared" si="124"/>
        <v>4</v>
      </c>
      <c r="K874" t="str">
        <f t="shared" si="127"/>
        <v>8</v>
      </c>
      <c r="L874" t="str">
        <f t="shared" si="128"/>
        <v>7</v>
      </c>
      <c r="M874" t="str">
        <f t="shared" si="129"/>
        <v>4</v>
      </c>
      <c r="O874" s="69">
        <f t="shared" si="130"/>
        <v>19</v>
      </c>
      <c r="P874">
        <f t="shared" si="125"/>
        <v>114</v>
      </c>
      <c r="Q874" t="str">
        <f t="shared" si="126"/>
        <v xml:space="preserve"> </v>
      </c>
    </row>
    <row r="875" spans="1:17" x14ac:dyDescent="0.25">
      <c r="A875">
        <v>0</v>
      </c>
      <c r="E875">
        <v>875</v>
      </c>
      <c r="G875" t="str">
        <f t="shared" si="122"/>
        <v>8</v>
      </c>
      <c r="H875" t="str">
        <f t="shared" si="123"/>
        <v>7</v>
      </c>
      <c r="I875" t="str">
        <f t="shared" si="124"/>
        <v>5</v>
      </c>
      <c r="K875" t="str">
        <f t="shared" si="127"/>
        <v>8</v>
      </c>
      <c r="L875" t="str">
        <f t="shared" si="128"/>
        <v>7</v>
      </c>
      <c r="M875" t="str">
        <f t="shared" si="129"/>
        <v>5</v>
      </c>
      <c r="O875" s="69">
        <f t="shared" si="130"/>
        <v>20</v>
      </c>
      <c r="P875">
        <f t="shared" si="125"/>
        <v>120</v>
      </c>
      <c r="Q875" t="str">
        <f t="shared" si="126"/>
        <v xml:space="preserve"> </v>
      </c>
    </row>
    <row r="876" spans="1:17" x14ac:dyDescent="0.25">
      <c r="A876">
        <v>0</v>
      </c>
      <c r="E876">
        <v>876</v>
      </c>
      <c r="G876" t="str">
        <f t="shared" si="122"/>
        <v>8</v>
      </c>
      <c r="H876" t="str">
        <f t="shared" si="123"/>
        <v>7</v>
      </c>
      <c r="I876" t="str">
        <f t="shared" si="124"/>
        <v>6</v>
      </c>
      <c r="K876" t="str">
        <f t="shared" si="127"/>
        <v>8</v>
      </c>
      <c r="L876" t="str">
        <f t="shared" si="128"/>
        <v>7</v>
      </c>
      <c r="M876" t="str">
        <f t="shared" si="129"/>
        <v>6</v>
      </c>
      <c r="O876" s="69">
        <f t="shared" si="130"/>
        <v>21</v>
      </c>
      <c r="P876">
        <f t="shared" si="125"/>
        <v>126</v>
      </c>
      <c r="Q876" t="str">
        <f t="shared" si="126"/>
        <v xml:space="preserve"> </v>
      </c>
    </row>
    <row r="877" spans="1:17" x14ac:dyDescent="0.25">
      <c r="A877">
        <v>0</v>
      </c>
      <c r="E877">
        <v>877</v>
      </c>
      <c r="G877" t="str">
        <f t="shared" si="122"/>
        <v>8</v>
      </c>
      <c r="H877" t="str">
        <f t="shared" si="123"/>
        <v>7</v>
      </c>
      <c r="I877" t="str">
        <f t="shared" si="124"/>
        <v>7</v>
      </c>
      <c r="K877" t="str">
        <f t="shared" si="127"/>
        <v>8</v>
      </c>
      <c r="L877" t="str">
        <f t="shared" si="128"/>
        <v>7</v>
      </c>
      <c r="M877" t="str">
        <f t="shared" si="129"/>
        <v>7</v>
      </c>
      <c r="O877" s="69">
        <f t="shared" si="130"/>
        <v>22</v>
      </c>
      <c r="P877">
        <f t="shared" si="125"/>
        <v>132</v>
      </c>
      <c r="Q877" t="str">
        <f t="shared" si="126"/>
        <v xml:space="preserve"> </v>
      </c>
    </row>
    <row r="878" spans="1:17" x14ac:dyDescent="0.25">
      <c r="A878">
        <v>0</v>
      </c>
      <c r="E878">
        <v>878</v>
      </c>
      <c r="G878" t="str">
        <f t="shared" si="122"/>
        <v>8</v>
      </c>
      <c r="H878" t="str">
        <f t="shared" si="123"/>
        <v>7</v>
      </c>
      <c r="I878" t="str">
        <f t="shared" si="124"/>
        <v>8</v>
      </c>
      <c r="K878" t="str">
        <f t="shared" si="127"/>
        <v>8</v>
      </c>
      <c r="L878" t="str">
        <f t="shared" si="128"/>
        <v>7</v>
      </c>
      <c r="M878" t="str">
        <f t="shared" si="129"/>
        <v>8</v>
      </c>
      <c r="O878" s="69">
        <f t="shared" si="130"/>
        <v>23</v>
      </c>
      <c r="P878">
        <f t="shared" si="125"/>
        <v>138</v>
      </c>
      <c r="Q878" t="str">
        <f t="shared" si="126"/>
        <v xml:space="preserve"> </v>
      </c>
    </row>
    <row r="879" spans="1:17" x14ac:dyDescent="0.25">
      <c r="A879">
        <v>0</v>
      </c>
      <c r="E879">
        <v>879</v>
      </c>
      <c r="G879" t="str">
        <f t="shared" si="122"/>
        <v>8</v>
      </c>
      <c r="H879" t="str">
        <f t="shared" si="123"/>
        <v>7</v>
      </c>
      <c r="I879" t="str">
        <f t="shared" si="124"/>
        <v>9</v>
      </c>
      <c r="K879" t="str">
        <f t="shared" si="127"/>
        <v>8</v>
      </c>
      <c r="L879" t="str">
        <f t="shared" si="128"/>
        <v>7</v>
      </c>
      <c r="M879" t="str">
        <f t="shared" si="129"/>
        <v>9</v>
      </c>
      <c r="O879" s="69">
        <f t="shared" si="130"/>
        <v>24</v>
      </c>
      <c r="P879">
        <f t="shared" si="125"/>
        <v>144</v>
      </c>
      <c r="Q879" t="str">
        <f t="shared" si="126"/>
        <v xml:space="preserve"> </v>
      </c>
    </row>
    <row r="880" spans="1:17" x14ac:dyDescent="0.25">
      <c r="A880">
        <v>0</v>
      </c>
      <c r="E880">
        <v>880</v>
      </c>
      <c r="G880" t="str">
        <f t="shared" si="122"/>
        <v>8</v>
      </c>
      <c r="H880" t="str">
        <f t="shared" si="123"/>
        <v>8</v>
      </c>
      <c r="I880" t="str">
        <f t="shared" si="124"/>
        <v>0</v>
      </c>
      <c r="K880" t="str">
        <f t="shared" si="127"/>
        <v>8</v>
      </c>
      <c r="L880" t="str">
        <f t="shared" si="128"/>
        <v>8</v>
      </c>
      <c r="M880" t="str">
        <f t="shared" si="129"/>
        <v>0</v>
      </c>
      <c r="O880" s="69">
        <f t="shared" si="130"/>
        <v>16</v>
      </c>
      <c r="P880">
        <f t="shared" si="125"/>
        <v>96</v>
      </c>
      <c r="Q880" t="str">
        <f t="shared" si="126"/>
        <v xml:space="preserve"> </v>
      </c>
    </row>
    <row r="881" spans="1:17" x14ac:dyDescent="0.25">
      <c r="A881">
        <v>0</v>
      </c>
      <c r="E881">
        <v>881</v>
      </c>
      <c r="G881" t="str">
        <f t="shared" si="122"/>
        <v>8</v>
      </c>
      <c r="H881" t="str">
        <f t="shared" si="123"/>
        <v>8</v>
      </c>
      <c r="I881" t="str">
        <f t="shared" si="124"/>
        <v>1</v>
      </c>
      <c r="K881" t="str">
        <f t="shared" si="127"/>
        <v>8</v>
      </c>
      <c r="L881" t="str">
        <f t="shared" si="128"/>
        <v>8</v>
      </c>
      <c r="M881" t="str">
        <f t="shared" si="129"/>
        <v>1</v>
      </c>
      <c r="O881" s="69">
        <f t="shared" si="130"/>
        <v>17</v>
      </c>
      <c r="P881">
        <f t="shared" si="125"/>
        <v>102</v>
      </c>
      <c r="Q881" t="str">
        <f t="shared" si="126"/>
        <v xml:space="preserve"> </v>
      </c>
    </row>
    <row r="882" spans="1:17" x14ac:dyDescent="0.25">
      <c r="A882">
        <v>0</v>
      </c>
      <c r="E882">
        <v>882</v>
      </c>
      <c r="G882" t="str">
        <f t="shared" si="122"/>
        <v>8</v>
      </c>
      <c r="H882" t="str">
        <f t="shared" si="123"/>
        <v>8</v>
      </c>
      <c r="I882" t="str">
        <f t="shared" si="124"/>
        <v>2</v>
      </c>
      <c r="K882" t="str">
        <f t="shared" si="127"/>
        <v>8</v>
      </c>
      <c r="L882" t="str">
        <f t="shared" si="128"/>
        <v>8</v>
      </c>
      <c r="M882" t="str">
        <f t="shared" si="129"/>
        <v>2</v>
      </c>
      <c r="O882" s="69">
        <f t="shared" si="130"/>
        <v>18</v>
      </c>
      <c r="P882">
        <f t="shared" si="125"/>
        <v>108</v>
      </c>
      <c r="Q882" t="str">
        <f t="shared" si="126"/>
        <v xml:space="preserve"> </v>
      </c>
    </row>
    <row r="883" spans="1:17" x14ac:dyDescent="0.25">
      <c r="A883">
        <v>0</v>
      </c>
      <c r="E883">
        <v>883</v>
      </c>
      <c r="G883" t="str">
        <f t="shared" si="122"/>
        <v>8</v>
      </c>
      <c r="H883" t="str">
        <f t="shared" si="123"/>
        <v>8</v>
      </c>
      <c r="I883" t="str">
        <f t="shared" si="124"/>
        <v>3</v>
      </c>
      <c r="K883" t="str">
        <f t="shared" si="127"/>
        <v>8</v>
      </c>
      <c r="L883" t="str">
        <f t="shared" si="128"/>
        <v>8</v>
      </c>
      <c r="M883" t="str">
        <f t="shared" si="129"/>
        <v>3</v>
      </c>
      <c r="O883" s="69">
        <f t="shared" si="130"/>
        <v>19</v>
      </c>
      <c r="P883">
        <f t="shared" si="125"/>
        <v>114</v>
      </c>
      <c r="Q883" t="str">
        <f t="shared" si="126"/>
        <v xml:space="preserve"> </v>
      </c>
    </row>
    <row r="884" spans="1:17" x14ac:dyDescent="0.25">
      <c r="A884">
        <v>0</v>
      </c>
      <c r="E884">
        <v>884</v>
      </c>
      <c r="G884" t="str">
        <f t="shared" si="122"/>
        <v>8</v>
      </c>
      <c r="H884" t="str">
        <f t="shared" si="123"/>
        <v>8</v>
      </c>
      <c r="I884" t="str">
        <f t="shared" si="124"/>
        <v>4</v>
      </c>
      <c r="K884" t="str">
        <f t="shared" si="127"/>
        <v>8</v>
      </c>
      <c r="L884" t="str">
        <f t="shared" si="128"/>
        <v>8</v>
      </c>
      <c r="M884" t="str">
        <f t="shared" si="129"/>
        <v>4</v>
      </c>
      <c r="O884" s="69">
        <f t="shared" si="130"/>
        <v>20</v>
      </c>
      <c r="P884">
        <f t="shared" si="125"/>
        <v>120</v>
      </c>
      <c r="Q884" t="str">
        <f t="shared" si="126"/>
        <v xml:space="preserve"> </v>
      </c>
    </row>
    <row r="885" spans="1:17" x14ac:dyDescent="0.25">
      <c r="A885">
        <v>0</v>
      </c>
      <c r="E885">
        <v>885</v>
      </c>
      <c r="G885" t="str">
        <f t="shared" si="122"/>
        <v>8</v>
      </c>
      <c r="H885" t="str">
        <f t="shared" si="123"/>
        <v>8</v>
      </c>
      <c r="I885" t="str">
        <f t="shared" si="124"/>
        <v>5</v>
      </c>
      <c r="K885" t="str">
        <f t="shared" si="127"/>
        <v>8</v>
      </c>
      <c r="L885" t="str">
        <f t="shared" si="128"/>
        <v>8</v>
      </c>
      <c r="M885" t="str">
        <f t="shared" si="129"/>
        <v>5</v>
      </c>
      <c r="O885" s="69">
        <f t="shared" si="130"/>
        <v>21</v>
      </c>
      <c r="P885">
        <f t="shared" si="125"/>
        <v>126</v>
      </c>
      <c r="Q885" t="str">
        <f t="shared" si="126"/>
        <v xml:space="preserve"> </v>
      </c>
    </row>
    <row r="886" spans="1:17" x14ac:dyDescent="0.25">
      <c r="A886">
        <v>0</v>
      </c>
      <c r="E886">
        <v>886</v>
      </c>
      <c r="G886" t="str">
        <f t="shared" si="122"/>
        <v>8</v>
      </c>
      <c r="H886" t="str">
        <f t="shared" si="123"/>
        <v>8</v>
      </c>
      <c r="I886" t="str">
        <f t="shared" si="124"/>
        <v>6</v>
      </c>
      <c r="K886" t="str">
        <f t="shared" si="127"/>
        <v>8</v>
      </c>
      <c r="L886" t="str">
        <f t="shared" si="128"/>
        <v>8</v>
      </c>
      <c r="M886" t="str">
        <f t="shared" si="129"/>
        <v>6</v>
      </c>
      <c r="O886" s="69">
        <f t="shared" si="130"/>
        <v>22</v>
      </c>
      <c r="P886">
        <f t="shared" si="125"/>
        <v>132</v>
      </c>
      <c r="Q886" t="str">
        <f t="shared" si="126"/>
        <v xml:space="preserve"> </v>
      </c>
    </row>
    <row r="887" spans="1:17" x14ac:dyDescent="0.25">
      <c r="A887">
        <v>0</v>
      </c>
      <c r="E887">
        <v>887</v>
      </c>
      <c r="G887" t="str">
        <f t="shared" si="122"/>
        <v>8</v>
      </c>
      <c r="H887" t="str">
        <f t="shared" si="123"/>
        <v>8</v>
      </c>
      <c r="I887" t="str">
        <f t="shared" si="124"/>
        <v>7</v>
      </c>
      <c r="K887" t="str">
        <f t="shared" si="127"/>
        <v>8</v>
      </c>
      <c r="L887" t="str">
        <f t="shared" si="128"/>
        <v>8</v>
      </c>
      <c r="M887" t="str">
        <f t="shared" si="129"/>
        <v>7</v>
      </c>
      <c r="O887" s="69">
        <f t="shared" si="130"/>
        <v>23</v>
      </c>
      <c r="P887">
        <f t="shared" si="125"/>
        <v>138</v>
      </c>
      <c r="Q887" t="str">
        <f t="shared" si="126"/>
        <v xml:space="preserve"> </v>
      </c>
    </row>
    <row r="888" spans="1:17" x14ac:dyDescent="0.25">
      <c r="A888">
        <v>0</v>
      </c>
      <c r="E888">
        <v>888</v>
      </c>
      <c r="G888" t="str">
        <f t="shared" si="122"/>
        <v>8</v>
      </c>
      <c r="H888" t="str">
        <f t="shared" si="123"/>
        <v>8</v>
      </c>
      <c r="I888" t="str">
        <f t="shared" si="124"/>
        <v>8</v>
      </c>
      <c r="K888" t="str">
        <f t="shared" si="127"/>
        <v>8</v>
      </c>
      <c r="L888" t="str">
        <f t="shared" si="128"/>
        <v>8</v>
      </c>
      <c r="M888" t="str">
        <f t="shared" si="129"/>
        <v>8</v>
      </c>
      <c r="O888" s="69">
        <f t="shared" si="130"/>
        <v>24</v>
      </c>
      <c r="P888">
        <f t="shared" si="125"/>
        <v>144</v>
      </c>
      <c r="Q888" t="str">
        <f t="shared" si="126"/>
        <v xml:space="preserve"> </v>
      </c>
    </row>
    <row r="889" spans="1:17" x14ac:dyDescent="0.25">
      <c r="A889">
        <v>0</v>
      </c>
      <c r="E889">
        <v>889</v>
      </c>
      <c r="G889" t="str">
        <f t="shared" si="122"/>
        <v>8</v>
      </c>
      <c r="H889" t="str">
        <f t="shared" si="123"/>
        <v>8</v>
      </c>
      <c r="I889" t="str">
        <f t="shared" si="124"/>
        <v>9</v>
      </c>
      <c r="K889" t="str">
        <f t="shared" si="127"/>
        <v>8</v>
      </c>
      <c r="L889" t="str">
        <f t="shared" si="128"/>
        <v>8</v>
      </c>
      <c r="M889" t="str">
        <f t="shared" si="129"/>
        <v>9</v>
      </c>
      <c r="O889" s="69">
        <f t="shared" si="130"/>
        <v>25</v>
      </c>
      <c r="P889">
        <f t="shared" si="125"/>
        <v>150</v>
      </c>
      <c r="Q889" t="str">
        <f t="shared" si="126"/>
        <v xml:space="preserve"> </v>
      </c>
    </row>
    <row r="890" spans="1:17" x14ac:dyDescent="0.25">
      <c r="A890">
        <v>0</v>
      </c>
      <c r="E890">
        <v>890</v>
      </c>
      <c r="G890" t="str">
        <f t="shared" si="122"/>
        <v>8</v>
      </c>
      <c r="H890" t="str">
        <f t="shared" si="123"/>
        <v>9</v>
      </c>
      <c r="I890" t="str">
        <f t="shared" si="124"/>
        <v>0</v>
      </c>
      <c r="K890" t="str">
        <f t="shared" si="127"/>
        <v>8</v>
      </c>
      <c r="L890" t="str">
        <f t="shared" si="128"/>
        <v>9</v>
      </c>
      <c r="M890" t="str">
        <f t="shared" si="129"/>
        <v>0</v>
      </c>
      <c r="O890" s="69">
        <f t="shared" si="130"/>
        <v>17</v>
      </c>
      <c r="P890">
        <f t="shared" si="125"/>
        <v>102</v>
      </c>
      <c r="Q890" t="str">
        <f t="shared" si="126"/>
        <v xml:space="preserve"> </v>
      </c>
    </row>
    <row r="891" spans="1:17" x14ac:dyDescent="0.25">
      <c r="A891">
        <v>0</v>
      </c>
      <c r="E891">
        <v>891</v>
      </c>
      <c r="G891" t="str">
        <f t="shared" si="122"/>
        <v>8</v>
      </c>
      <c r="H891" t="str">
        <f t="shared" si="123"/>
        <v>9</v>
      </c>
      <c r="I891" t="str">
        <f t="shared" si="124"/>
        <v>1</v>
      </c>
      <c r="K891" t="str">
        <f t="shared" si="127"/>
        <v>8</v>
      </c>
      <c r="L891" t="str">
        <f t="shared" si="128"/>
        <v>9</v>
      </c>
      <c r="M891" t="str">
        <f t="shared" si="129"/>
        <v>1</v>
      </c>
      <c r="O891" s="69">
        <f t="shared" si="130"/>
        <v>18</v>
      </c>
      <c r="P891">
        <f t="shared" si="125"/>
        <v>108</v>
      </c>
      <c r="Q891" t="str">
        <f t="shared" si="126"/>
        <v xml:space="preserve"> </v>
      </c>
    </row>
    <row r="892" spans="1:17" x14ac:dyDescent="0.25">
      <c r="A892">
        <v>0</v>
      </c>
      <c r="E892">
        <v>892</v>
      </c>
      <c r="G892" t="str">
        <f t="shared" si="122"/>
        <v>8</v>
      </c>
      <c r="H892" t="str">
        <f t="shared" si="123"/>
        <v>9</v>
      </c>
      <c r="I892" t="str">
        <f t="shared" si="124"/>
        <v>2</v>
      </c>
      <c r="K892" t="str">
        <f t="shared" si="127"/>
        <v>8</v>
      </c>
      <c r="L892" t="str">
        <f t="shared" si="128"/>
        <v>9</v>
      </c>
      <c r="M892" t="str">
        <f t="shared" si="129"/>
        <v>2</v>
      </c>
      <c r="O892" s="69">
        <f t="shared" si="130"/>
        <v>19</v>
      </c>
      <c r="P892">
        <f t="shared" si="125"/>
        <v>114</v>
      </c>
      <c r="Q892" t="str">
        <f t="shared" si="126"/>
        <v xml:space="preserve"> </v>
      </c>
    </row>
    <row r="893" spans="1:17" x14ac:dyDescent="0.25">
      <c r="A893">
        <v>0</v>
      </c>
      <c r="E893">
        <v>893</v>
      </c>
      <c r="G893" t="str">
        <f t="shared" si="122"/>
        <v>8</v>
      </c>
      <c r="H893" t="str">
        <f t="shared" si="123"/>
        <v>9</v>
      </c>
      <c r="I893" t="str">
        <f t="shared" si="124"/>
        <v>3</v>
      </c>
      <c r="K893" t="str">
        <f t="shared" si="127"/>
        <v>8</v>
      </c>
      <c r="L893" t="str">
        <f t="shared" si="128"/>
        <v>9</v>
      </c>
      <c r="M893" t="str">
        <f t="shared" si="129"/>
        <v>3</v>
      </c>
      <c r="O893" s="69">
        <f t="shared" si="130"/>
        <v>20</v>
      </c>
      <c r="P893">
        <f t="shared" si="125"/>
        <v>120</v>
      </c>
      <c r="Q893" t="str">
        <f t="shared" si="126"/>
        <v xml:space="preserve"> </v>
      </c>
    </row>
    <row r="894" spans="1:17" x14ac:dyDescent="0.25">
      <c r="A894">
        <v>0</v>
      </c>
      <c r="E894">
        <v>894</v>
      </c>
      <c r="G894" t="str">
        <f t="shared" si="122"/>
        <v>8</v>
      </c>
      <c r="H894" t="str">
        <f t="shared" si="123"/>
        <v>9</v>
      </c>
      <c r="I894" t="str">
        <f t="shared" si="124"/>
        <v>4</v>
      </c>
      <c r="K894" t="str">
        <f t="shared" si="127"/>
        <v>8</v>
      </c>
      <c r="L894" t="str">
        <f t="shared" si="128"/>
        <v>9</v>
      </c>
      <c r="M894" t="str">
        <f t="shared" si="129"/>
        <v>4</v>
      </c>
      <c r="O894" s="69">
        <f t="shared" si="130"/>
        <v>21</v>
      </c>
      <c r="P894">
        <f t="shared" si="125"/>
        <v>126</v>
      </c>
      <c r="Q894" t="str">
        <f t="shared" si="126"/>
        <v xml:space="preserve"> </v>
      </c>
    </row>
    <row r="895" spans="1:17" x14ac:dyDescent="0.25">
      <c r="A895">
        <v>0</v>
      </c>
      <c r="E895">
        <v>895</v>
      </c>
      <c r="G895" t="str">
        <f t="shared" si="122"/>
        <v>8</v>
      </c>
      <c r="H895" t="str">
        <f t="shared" si="123"/>
        <v>9</v>
      </c>
      <c r="I895" t="str">
        <f t="shared" si="124"/>
        <v>5</v>
      </c>
      <c r="K895" t="str">
        <f t="shared" si="127"/>
        <v>8</v>
      </c>
      <c r="L895" t="str">
        <f t="shared" si="128"/>
        <v>9</v>
      </c>
      <c r="M895" t="str">
        <f t="shared" si="129"/>
        <v>5</v>
      </c>
      <c r="O895" s="69">
        <f t="shared" si="130"/>
        <v>22</v>
      </c>
      <c r="P895">
        <f t="shared" si="125"/>
        <v>132</v>
      </c>
      <c r="Q895" t="str">
        <f t="shared" si="126"/>
        <v xml:space="preserve"> </v>
      </c>
    </row>
    <row r="896" spans="1:17" x14ac:dyDescent="0.25">
      <c r="A896">
        <v>0</v>
      </c>
      <c r="E896">
        <v>896</v>
      </c>
      <c r="G896" t="str">
        <f t="shared" si="122"/>
        <v>8</v>
      </c>
      <c r="H896" t="str">
        <f t="shared" si="123"/>
        <v>9</v>
      </c>
      <c r="I896" t="str">
        <f t="shared" si="124"/>
        <v>6</v>
      </c>
      <c r="K896" t="str">
        <f t="shared" si="127"/>
        <v>8</v>
      </c>
      <c r="L896" t="str">
        <f t="shared" si="128"/>
        <v>9</v>
      </c>
      <c r="M896" t="str">
        <f t="shared" si="129"/>
        <v>6</v>
      </c>
      <c r="O896" s="69">
        <f t="shared" si="130"/>
        <v>23</v>
      </c>
      <c r="P896">
        <f t="shared" si="125"/>
        <v>138</v>
      </c>
      <c r="Q896" t="str">
        <f t="shared" si="126"/>
        <v xml:space="preserve"> </v>
      </c>
    </row>
    <row r="897" spans="1:17" x14ac:dyDescent="0.25">
      <c r="A897">
        <v>0</v>
      </c>
      <c r="E897">
        <v>897</v>
      </c>
      <c r="G897" t="str">
        <f t="shared" si="122"/>
        <v>8</v>
      </c>
      <c r="H897" t="str">
        <f t="shared" si="123"/>
        <v>9</v>
      </c>
      <c r="I897" t="str">
        <f t="shared" si="124"/>
        <v>7</v>
      </c>
      <c r="K897" t="str">
        <f t="shared" si="127"/>
        <v>8</v>
      </c>
      <c r="L897" t="str">
        <f t="shared" si="128"/>
        <v>9</v>
      </c>
      <c r="M897" t="str">
        <f t="shared" si="129"/>
        <v>7</v>
      </c>
      <c r="O897" s="69">
        <f t="shared" si="130"/>
        <v>24</v>
      </c>
      <c r="P897">
        <f t="shared" si="125"/>
        <v>144</v>
      </c>
      <c r="Q897" t="str">
        <f t="shared" si="126"/>
        <v xml:space="preserve"> </v>
      </c>
    </row>
    <row r="898" spans="1:17" x14ac:dyDescent="0.25">
      <c r="A898">
        <v>0</v>
      </c>
      <c r="E898">
        <v>898</v>
      </c>
      <c r="G898" t="str">
        <f t="shared" ref="G898:G961" si="131">+MID(E898,1,1)</f>
        <v>8</v>
      </c>
      <c r="H898" t="str">
        <f t="shared" ref="H898:H961" si="132">+MID(E898,2,1)</f>
        <v>9</v>
      </c>
      <c r="I898" t="str">
        <f t="shared" ref="I898:I961" si="133">+MID(E898,3,1)</f>
        <v>8</v>
      </c>
      <c r="K898" t="str">
        <f t="shared" si="127"/>
        <v>8</v>
      </c>
      <c r="L898" t="str">
        <f t="shared" si="128"/>
        <v>9</v>
      </c>
      <c r="M898" t="str">
        <f t="shared" si="129"/>
        <v>8</v>
      </c>
      <c r="O898" s="69">
        <f t="shared" si="130"/>
        <v>25</v>
      </c>
      <c r="P898">
        <f t="shared" ref="P898:P961" si="134">+O898*6</f>
        <v>150</v>
      </c>
      <c r="Q898" t="str">
        <f t="shared" ref="Q898:Q961" si="135">+IF(P898=E898,"OK"," ")</f>
        <v xml:space="preserve"> </v>
      </c>
    </row>
    <row r="899" spans="1:17" x14ac:dyDescent="0.25">
      <c r="A899">
        <v>0</v>
      </c>
      <c r="E899">
        <v>899</v>
      </c>
      <c r="G899" t="str">
        <f t="shared" si="131"/>
        <v>8</v>
      </c>
      <c r="H899" t="str">
        <f t="shared" si="132"/>
        <v>9</v>
      </c>
      <c r="I899" t="str">
        <f t="shared" si="133"/>
        <v>9</v>
      </c>
      <c r="K899" t="str">
        <f t="shared" si="127"/>
        <v>8</v>
      </c>
      <c r="L899" t="str">
        <f t="shared" si="128"/>
        <v>9</v>
      </c>
      <c r="M899" t="str">
        <f t="shared" si="129"/>
        <v>9</v>
      </c>
      <c r="O899" s="69">
        <f t="shared" si="130"/>
        <v>26</v>
      </c>
      <c r="P899">
        <f t="shared" si="134"/>
        <v>156</v>
      </c>
      <c r="Q899" t="str">
        <f t="shared" si="135"/>
        <v xml:space="preserve"> </v>
      </c>
    </row>
    <row r="900" spans="1:17" x14ac:dyDescent="0.25">
      <c r="A900">
        <v>0</v>
      </c>
      <c r="E900">
        <v>900</v>
      </c>
      <c r="G900" t="str">
        <f t="shared" si="131"/>
        <v>9</v>
      </c>
      <c r="H900" t="str">
        <f t="shared" si="132"/>
        <v>0</v>
      </c>
      <c r="I900" t="str">
        <f t="shared" si="133"/>
        <v>0</v>
      </c>
      <c r="K900" t="str">
        <f t="shared" si="127"/>
        <v>9</v>
      </c>
      <c r="L900" t="str">
        <f t="shared" si="128"/>
        <v>0</v>
      </c>
      <c r="M900" t="str">
        <f t="shared" si="129"/>
        <v>0</v>
      </c>
      <c r="O900" s="69">
        <f t="shared" si="130"/>
        <v>9</v>
      </c>
      <c r="P900">
        <f t="shared" si="134"/>
        <v>54</v>
      </c>
      <c r="Q900" t="str">
        <f t="shared" si="135"/>
        <v xml:space="preserve"> </v>
      </c>
    </row>
    <row r="901" spans="1:17" x14ac:dyDescent="0.25">
      <c r="A901">
        <v>0</v>
      </c>
      <c r="E901">
        <v>901</v>
      </c>
      <c r="G901" t="str">
        <f t="shared" si="131"/>
        <v>9</v>
      </c>
      <c r="H901" t="str">
        <f t="shared" si="132"/>
        <v>0</v>
      </c>
      <c r="I901" t="str">
        <f t="shared" si="133"/>
        <v>1</v>
      </c>
      <c r="K901" t="str">
        <f t="shared" si="127"/>
        <v>9</v>
      </c>
      <c r="L901" t="str">
        <f t="shared" si="128"/>
        <v>0</v>
      </c>
      <c r="M901" t="str">
        <f t="shared" si="129"/>
        <v>1</v>
      </c>
      <c r="O901" s="69">
        <f t="shared" si="130"/>
        <v>10</v>
      </c>
      <c r="P901">
        <f t="shared" si="134"/>
        <v>60</v>
      </c>
      <c r="Q901" t="str">
        <f t="shared" si="135"/>
        <v xml:space="preserve"> </v>
      </c>
    </row>
    <row r="902" spans="1:17" x14ac:dyDescent="0.25">
      <c r="A902">
        <v>0</v>
      </c>
      <c r="E902">
        <v>902</v>
      </c>
      <c r="G902" t="str">
        <f t="shared" si="131"/>
        <v>9</v>
      </c>
      <c r="H902" t="str">
        <f t="shared" si="132"/>
        <v>0</v>
      </c>
      <c r="I902" t="str">
        <f t="shared" si="133"/>
        <v>2</v>
      </c>
      <c r="K902" t="str">
        <f t="shared" si="127"/>
        <v>9</v>
      </c>
      <c r="L902" t="str">
        <f t="shared" si="128"/>
        <v>0</v>
      </c>
      <c r="M902" t="str">
        <f t="shared" si="129"/>
        <v>2</v>
      </c>
      <c r="O902" s="69">
        <f t="shared" si="130"/>
        <v>11</v>
      </c>
      <c r="P902">
        <f t="shared" si="134"/>
        <v>66</v>
      </c>
      <c r="Q902" t="str">
        <f t="shared" si="135"/>
        <v xml:space="preserve"> </v>
      </c>
    </row>
    <row r="903" spans="1:17" x14ac:dyDescent="0.25">
      <c r="A903">
        <v>0</v>
      </c>
      <c r="E903">
        <v>903</v>
      </c>
      <c r="G903" t="str">
        <f t="shared" si="131"/>
        <v>9</v>
      </c>
      <c r="H903" t="str">
        <f t="shared" si="132"/>
        <v>0</v>
      </c>
      <c r="I903" t="str">
        <f t="shared" si="133"/>
        <v>3</v>
      </c>
      <c r="K903" t="str">
        <f t="shared" si="127"/>
        <v>9</v>
      </c>
      <c r="L903" t="str">
        <f t="shared" si="128"/>
        <v>0</v>
      </c>
      <c r="M903" t="str">
        <f t="shared" si="129"/>
        <v>3</v>
      </c>
      <c r="O903" s="69">
        <f t="shared" si="130"/>
        <v>12</v>
      </c>
      <c r="P903">
        <f t="shared" si="134"/>
        <v>72</v>
      </c>
      <c r="Q903" t="str">
        <f t="shared" si="135"/>
        <v xml:space="preserve"> </v>
      </c>
    </row>
    <row r="904" spans="1:17" x14ac:dyDescent="0.25">
      <c r="A904">
        <v>0</v>
      </c>
      <c r="E904">
        <v>904</v>
      </c>
      <c r="G904" t="str">
        <f t="shared" si="131"/>
        <v>9</v>
      </c>
      <c r="H904" t="str">
        <f t="shared" si="132"/>
        <v>0</v>
      </c>
      <c r="I904" t="str">
        <f t="shared" si="133"/>
        <v>4</v>
      </c>
      <c r="K904" t="str">
        <f t="shared" si="127"/>
        <v>9</v>
      </c>
      <c r="L904" t="str">
        <f t="shared" si="128"/>
        <v>0</v>
      </c>
      <c r="M904" t="str">
        <f t="shared" si="129"/>
        <v>4</v>
      </c>
      <c r="O904" s="69">
        <f t="shared" si="130"/>
        <v>13</v>
      </c>
      <c r="P904">
        <f t="shared" si="134"/>
        <v>78</v>
      </c>
      <c r="Q904" t="str">
        <f t="shared" si="135"/>
        <v xml:space="preserve"> </v>
      </c>
    </row>
    <row r="905" spans="1:17" x14ac:dyDescent="0.25">
      <c r="A905">
        <v>0</v>
      </c>
      <c r="E905">
        <v>905</v>
      </c>
      <c r="G905" t="str">
        <f t="shared" si="131"/>
        <v>9</v>
      </c>
      <c r="H905" t="str">
        <f t="shared" si="132"/>
        <v>0</v>
      </c>
      <c r="I905" t="str">
        <f t="shared" si="133"/>
        <v>5</v>
      </c>
      <c r="K905" t="str">
        <f t="shared" si="127"/>
        <v>9</v>
      </c>
      <c r="L905" t="str">
        <f t="shared" si="128"/>
        <v>0</v>
      </c>
      <c r="M905" t="str">
        <f t="shared" si="129"/>
        <v>5</v>
      </c>
      <c r="O905" s="69">
        <f t="shared" si="130"/>
        <v>14</v>
      </c>
      <c r="P905">
        <f t="shared" si="134"/>
        <v>84</v>
      </c>
      <c r="Q905" t="str">
        <f t="shared" si="135"/>
        <v xml:space="preserve"> </v>
      </c>
    </row>
    <row r="906" spans="1:17" x14ac:dyDescent="0.25">
      <c r="A906">
        <v>0</v>
      </c>
      <c r="E906">
        <v>906</v>
      </c>
      <c r="G906" t="str">
        <f t="shared" si="131"/>
        <v>9</v>
      </c>
      <c r="H906" t="str">
        <f t="shared" si="132"/>
        <v>0</v>
      </c>
      <c r="I906" t="str">
        <f t="shared" si="133"/>
        <v>6</v>
      </c>
      <c r="K906" t="str">
        <f t="shared" si="127"/>
        <v>9</v>
      </c>
      <c r="L906" t="str">
        <f t="shared" si="128"/>
        <v>0</v>
      </c>
      <c r="M906" t="str">
        <f t="shared" si="129"/>
        <v>6</v>
      </c>
      <c r="O906" s="69">
        <f t="shared" si="130"/>
        <v>15</v>
      </c>
      <c r="P906">
        <f t="shared" si="134"/>
        <v>90</v>
      </c>
      <c r="Q906" t="str">
        <f t="shared" si="135"/>
        <v xml:space="preserve"> </v>
      </c>
    </row>
    <row r="907" spans="1:17" x14ac:dyDescent="0.25">
      <c r="A907">
        <v>0</v>
      </c>
      <c r="E907">
        <v>907</v>
      </c>
      <c r="G907" t="str">
        <f t="shared" si="131"/>
        <v>9</v>
      </c>
      <c r="H907" t="str">
        <f t="shared" si="132"/>
        <v>0</v>
      </c>
      <c r="I907" t="str">
        <f t="shared" si="133"/>
        <v>7</v>
      </c>
      <c r="K907" t="str">
        <f t="shared" si="127"/>
        <v>9</v>
      </c>
      <c r="L907" t="str">
        <f t="shared" si="128"/>
        <v>0</v>
      </c>
      <c r="M907" t="str">
        <f t="shared" si="129"/>
        <v>7</v>
      </c>
      <c r="O907" s="69">
        <f t="shared" si="130"/>
        <v>16</v>
      </c>
      <c r="P907">
        <f t="shared" si="134"/>
        <v>96</v>
      </c>
      <c r="Q907" t="str">
        <f t="shared" si="135"/>
        <v xml:space="preserve"> </v>
      </c>
    </row>
    <row r="908" spans="1:17" x14ac:dyDescent="0.25">
      <c r="A908">
        <v>0</v>
      </c>
      <c r="E908">
        <v>908</v>
      </c>
      <c r="G908" t="str">
        <f t="shared" si="131"/>
        <v>9</v>
      </c>
      <c r="H908" t="str">
        <f t="shared" si="132"/>
        <v>0</v>
      </c>
      <c r="I908" t="str">
        <f t="shared" si="133"/>
        <v>8</v>
      </c>
      <c r="K908" t="str">
        <f t="shared" si="127"/>
        <v>9</v>
      </c>
      <c r="L908" t="str">
        <f t="shared" si="128"/>
        <v>0</v>
      </c>
      <c r="M908" t="str">
        <f t="shared" si="129"/>
        <v>8</v>
      </c>
      <c r="O908" s="69">
        <f t="shared" si="130"/>
        <v>17</v>
      </c>
      <c r="P908">
        <f t="shared" si="134"/>
        <v>102</v>
      </c>
      <c r="Q908" t="str">
        <f t="shared" si="135"/>
        <v xml:space="preserve"> </v>
      </c>
    </row>
    <row r="909" spans="1:17" x14ac:dyDescent="0.25">
      <c r="A909">
        <v>0</v>
      </c>
      <c r="E909">
        <v>909</v>
      </c>
      <c r="G909" t="str">
        <f t="shared" si="131"/>
        <v>9</v>
      </c>
      <c r="H909" t="str">
        <f t="shared" si="132"/>
        <v>0</v>
      </c>
      <c r="I909" t="str">
        <f t="shared" si="133"/>
        <v>9</v>
      </c>
      <c r="K909" t="str">
        <f t="shared" si="127"/>
        <v>9</v>
      </c>
      <c r="L909" t="str">
        <f t="shared" si="128"/>
        <v>0</v>
      </c>
      <c r="M909" t="str">
        <f t="shared" si="129"/>
        <v>9</v>
      </c>
      <c r="O909" s="69">
        <f t="shared" si="130"/>
        <v>18</v>
      </c>
      <c r="P909">
        <f t="shared" si="134"/>
        <v>108</v>
      </c>
      <c r="Q909" t="str">
        <f t="shared" si="135"/>
        <v xml:space="preserve"> </v>
      </c>
    </row>
    <row r="910" spans="1:17" x14ac:dyDescent="0.25">
      <c r="A910">
        <v>0</v>
      </c>
      <c r="E910">
        <v>910</v>
      </c>
      <c r="G910" t="str">
        <f t="shared" si="131"/>
        <v>9</v>
      </c>
      <c r="H910" t="str">
        <f t="shared" si="132"/>
        <v>1</v>
      </c>
      <c r="I910" t="str">
        <f t="shared" si="133"/>
        <v>0</v>
      </c>
      <c r="K910" t="str">
        <f t="shared" si="127"/>
        <v>9</v>
      </c>
      <c r="L910" t="str">
        <f t="shared" si="128"/>
        <v>1</v>
      </c>
      <c r="M910" t="str">
        <f t="shared" si="129"/>
        <v>0</v>
      </c>
      <c r="O910" s="69">
        <f t="shared" si="130"/>
        <v>10</v>
      </c>
      <c r="P910">
        <f t="shared" si="134"/>
        <v>60</v>
      </c>
      <c r="Q910" t="str">
        <f t="shared" si="135"/>
        <v xml:space="preserve"> </v>
      </c>
    </row>
    <row r="911" spans="1:17" x14ac:dyDescent="0.25">
      <c r="A911">
        <v>0</v>
      </c>
      <c r="E911">
        <v>911</v>
      </c>
      <c r="G911" t="str">
        <f t="shared" si="131"/>
        <v>9</v>
      </c>
      <c r="H911" t="str">
        <f t="shared" si="132"/>
        <v>1</v>
      </c>
      <c r="I911" t="str">
        <f t="shared" si="133"/>
        <v>1</v>
      </c>
      <c r="K911" t="str">
        <f t="shared" si="127"/>
        <v>9</v>
      </c>
      <c r="L911" t="str">
        <f t="shared" si="128"/>
        <v>1</v>
      </c>
      <c r="M911" t="str">
        <f t="shared" si="129"/>
        <v>1</v>
      </c>
      <c r="O911" s="69">
        <f t="shared" si="130"/>
        <v>11</v>
      </c>
      <c r="P911">
        <f t="shared" si="134"/>
        <v>66</v>
      </c>
      <c r="Q911" t="str">
        <f t="shared" si="135"/>
        <v xml:space="preserve"> </v>
      </c>
    </row>
    <row r="912" spans="1:17" x14ac:dyDescent="0.25">
      <c r="A912">
        <v>0</v>
      </c>
      <c r="E912">
        <v>912</v>
      </c>
      <c r="G912" t="str">
        <f t="shared" si="131"/>
        <v>9</v>
      </c>
      <c r="H912" t="str">
        <f t="shared" si="132"/>
        <v>1</v>
      </c>
      <c r="I912" t="str">
        <f t="shared" si="133"/>
        <v>2</v>
      </c>
      <c r="K912" t="str">
        <f t="shared" si="127"/>
        <v>9</v>
      </c>
      <c r="L912" t="str">
        <f t="shared" si="128"/>
        <v>1</v>
      </c>
      <c r="M912" t="str">
        <f t="shared" si="129"/>
        <v>2</v>
      </c>
      <c r="O912" s="69">
        <f t="shared" si="130"/>
        <v>12</v>
      </c>
      <c r="P912">
        <f t="shared" si="134"/>
        <v>72</v>
      </c>
      <c r="Q912" t="str">
        <f t="shared" si="135"/>
        <v xml:space="preserve"> </v>
      </c>
    </row>
    <row r="913" spans="1:17" x14ac:dyDescent="0.25">
      <c r="A913">
        <v>0</v>
      </c>
      <c r="E913">
        <v>913</v>
      </c>
      <c r="G913" t="str">
        <f t="shared" si="131"/>
        <v>9</v>
      </c>
      <c r="H913" t="str">
        <f t="shared" si="132"/>
        <v>1</v>
      </c>
      <c r="I913" t="str">
        <f t="shared" si="133"/>
        <v>3</v>
      </c>
      <c r="K913" t="str">
        <f t="shared" si="127"/>
        <v>9</v>
      </c>
      <c r="L913" t="str">
        <f t="shared" si="128"/>
        <v>1</v>
      </c>
      <c r="M913" t="str">
        <f t="shared" si="129"/>
        <v>3</v>
      </c>
      <c r="O913" s="69">
        <f t="shared" si="130"/>
        <v>13</v>
      </c>
      <c r="P913">
        <f t="shared" si="134"/>
        <v>78</v>
      </c>
      <c r="Q913" t="str">
        <f t="shared" si="135"/>
        <v xml:space="preserve"> </v>
      </c>
    </row>
    <row r="914" spans="1:17" x14ac:dyDescent="0.25">
      <c r="A914">
        <v>0</v>
      </c>
      <c r="E914">
        <v>914</v>
      </c>
      <c r="G914" t="str">
        <f t="shared" si="131"/>
        <v>9</v>
      </c>
      <c r="H914" t="str">
        <f t="shared" si="132"/>
        <v>1</v>
      </c>
      <c r="I914" t="str">
        <f t="shared" si="133"/>
        <v>4</v>
      </c>
      <c r="K914" t="str">
        <f t="shared" ref="K914:K977" si="136">+G914</f>
        <v>9</v>
      </c>
      <c r="L914" t="str">
        <f t="shared" ref="L914:L977" si="137">+H914</f>
        <v>1</v>
      </c>
      <c r="M914" t="str">
        <f t="shared" ref="M914:M977" si="138">+I914</f>
        <v>4</v>
      </c>
      <c r="O914" s="69">
        <f t="shared" si="130"/>
        <v>14</v>
      </c>
      <c r="P914">
        <f t="shared" si="134"/>
        <v>84</v>
      </c>
      <c r="Q914" t="str">
        <f t="shared" si="135"/>
        <v xml:space="preserve"> </v>
      </c>
    </row>
    <row r="915" spans="1:17" x14ac:dyDescent="0.25">
      <c r="A915">
        <v>0</v>
      </c>
      <c r="E915">
        <v>915</v>
      </c>
      <c r="G915" t="str">
        <f t="shared" si="131"/>
        <v>9</v>
      </c>
      <c r="H915" t="str">
        <f t="shared" si="132"/>
        <v>1</v>
      </c>
      <c r="I915" t="str">
        <f t="shared" si="133"/>
        <v>5</v>
      </c>
      <c r="K915" t="str">
        <f t="shared" si="136"/>
        <v>9</v>
      </c>
      <c r="L915" t="str">
        <f t="shared" si="137"/>
        <v>1</v>
      </c>
      <c r="M915" t="str">
        <f t="shared" si="138"/>
        <v>5</v>
      </c>
      <c r="O915" s="69">
        <f t="shared" si="130"/>
        <v>15</v>
      </c>
      <c r="P915">
        <f t="shared" si="134"/>
        <v>90</v>
      </c>
      <c r="Q915" t="str">
        <f t="shared" si="135"/>
        <v xml:space="preserve"> </v>
      </c>
    </row>
    <row r="916" spans="1:17" x14ac:dyDescent="0.25">
      <c r="A916">
        <v>0</v>
      </c>
      <c r="E916">
        <v>916</v>
      </c>
      <c r="G916" t="str">
        <f t="shared" si="131"/>
        <v>9</v>
      </c>
      <c r="H916" t="str">
        <f t="shared" si="132"/>
        <v>1</v>
      </c>
      <c r="I916" t="str">
        <f t="shared" si="133"/>
        <v>6</v>
      </c>
      <c r="K916" t="str">
        <f t="shared" si="136"/>
        <v>9</v>
      </c>
      <c r="L916" t="str">
        <f t="shared" si="137"/>
        <v>1</v>
      </c>
      <c r="M916" t="str">
        <f t="shared" si="138"/>
        <v>6</v>
      </c>
      <c r="O916" s="69">
        <f t="shared" si="130"/>
        <v>16</v>
      </c>
      <c r="P916">
        <f t="shared" si="134"/>
        <v>96</v>
      </c>
      <c r="Q916" t="str">
        <f t="shared" si="135"/>
        <v xml:space="preserve"> </v>
      </c>
    </row>
    <row r="917" spans="1:17" x14ac:dyDescent="0.25">
      <c r="A917">
        <v>0</v>
      </c>
      <c r="E917">
        <v>917</v>
      </c>
      <c r="G917" t="str">
        <f t="shared" si="131"/>
        <v>9</v>
      </c>
      <c r="H917" t="str">
        <f t="shared" si="132"/>
        <v>1</v>
      </c>
      <c r="I917" t="str">
        <f t="shared" si="133"/>
        <v>7</v>
      </c>
      <c r="K917" t="str">
        <f t="shared" si="136"/>
        <v>9</v>
      </c>
      <c r="L917" t="str">
        <f t="shared" si="137"/>
        <v>1</v>
      </c>
      <c r="M917" t="str">
        <f t="shared" si="138"/>
        <v>7</v>
      </c>
      <c r="O917" s="69">
        <f t="shared" si="130"/>
        <v>17</v>
      </c>
      <c r="P917">
        <f t="shared" si="134"/>
        <v>102</v>
      </c>
      <c r="Q917" t="str">
        <f t="shared" si="135"/>
        <v xml:space="preserve"> </v>
      </c>
    </row>
    <row r="918" spans="1:17" x14ac:dyDescent="0.25">
      <c r="A918">
        <v>0</v>
      </c>
      <c r="E918">
        <v>918</v>
      </c>
      <c r="G918" t="str">
        <f t="shared" si="131"/>
        <v>9</v>
      </c>
      <c r="H918" t="str">
        <f t="shared" si="132"/>
        <v>1</v>
      </c>
      <c r="I918" t="str">
        <f t="shared" si="133"/>
        <v>8</v>
      </c>
      <c r="K918" t="str">
        <f t="shared" si="136"/>
        <v>9</v>
      </c>
      <c r="L918" t="str">
        <f t="shared" si="137"/>
        <v>1</v>
      </c>
      <c r="M918" t="str">
        <f t="shared" si="138"/>
        <v>8</v>
      </c>
      <c r="O918" s="69">
        <f t="shared" si="130"/>
        <v>18</v>
      </c>
      <c r="P918">
        <f t="shared" si="134"/>
        <v>108</v>
      </c>
      <c r="Q918" t="str">
        <f t="shared" si="135"/>
        <v xml:space="preserve"> </v>
      </c>
    </row>
    <row r="919" spans="1:17" x14ac:dyDescent="0.25">
      <c r="A919">
        <v>0</v>
      </c>
      <c r="E919">
        <v>919</v>
      </c>
      <c r="G919" t="str">
        <f t="shared" si="131"/>
        <v>9</v>
      </c>
      <c r="H919" t="str">
        <f t="shared" si="132"/>
        <v>1</v>
      </c>
      <c r="I919" t="str">
        <f t="shared" si="133"/>
        <v>9</v>
      </c>
      <c r="K919" t="str">
        <f t="shared" si="136"/>
        <v>9</v>
      </c>
      <c r="L919" t="str">
        <f t="shared" si="137"/>
        <v>1</v>
      </c>
      <c r="M919" t="str">
        <f t="shared" si="138"/>
        <v>9</v>
      </c>
      <c r="O919" s="69">
        <f t="shared" si="130"/>
        <v>19</v>
      </c>
      <c r="P919">
        <f t="shared" si="134"/>
        <v>114</v>
      </c>
      <c r="Q919" t="str">
        <f t="shared" si="135"/>
        <v xml:space="preserve"> </v>
      </c>
    </row>
    <row r="920" spans="1:17" x14ac:dyDescent="0.25">
      <c r="A920">
        <v>0</v>
      </c>
      <c r="E920">
        <v>920</v>
      </c>
      <c r="G920" t="str">
        <f t="shared" si="131"/>
        <v>9</v>
      </c>
      <c r="H920" t="str">
        <f t="shared" si="132"/>
        <v>2</v>
      </c>
      <c r="I920" t="str">
        <f t="shared" si="133"/>
        <v>0</v>
      </c>
      <c r="K920" t="str">
        <f t="shared" si="136"/>
        <v>9</v>
      </c>
      <c r="L920" t="str">
        <f t="shared" si="137"/>
        <v>2</v>
      </c>
      <c r="M920" t="str">
        <f t="shared" si="138"/>
        <v>0</v>
      </c>
      <c r="O920" s="69">
        <f t="shared" si="130"/>
        <v>11</v>
      </c>
      <c r="P920">
        <f t="shared" si="134"/>
        <v>66</v>
      </c>
      <c r="Q920" t="str">
        <f t="shared" si="135"/>
        <v xml:space="preserve"> </v>
      </c>
    </row>
    <row r="921" spans="1:17" x14ac:dyDescent="0.25">
      <c r="A921">
        <v>0</v>
      </c>
      <c r="E921">
        <v>921</v>
      </c>
      <c r="G921" t="str">
        <f t="shared" si="131"/>
        <v>9</v>
      </c>
      <c r="H921" t="str">
        <f t="shared" si="132"/>
        <v>2</v>
      </c>
      <c r="I921" t="str">
        <f t="shared" si="133"/>
        <v>1</v>
      </c>
      <c r="K921" t="str">
        <f t="shared" si="136"/>
        <v>9</v>
      </c>
      <c r="L921" t="str">
        <f t="shared" si="137"/>
        <v>2</v>
      </c>
      <c r="M921" t="str">
        <f t="shared" si="138"/>
        <v>1</v>
      </c>
      <c r="O921" s="69">
        <f t="shared" si="130"/>
        <v>12</v>
      </c>
      <c r="P921">
        <f t="shared" si="134"/>
        <v>72</v>
      </c>
      <c r="Q921" t="str">
        <f t="shared" si="135"/>
        <v xml:space="preserve"> </v>
      </c>
    </row>
    <row r="922" spans="1:17" x14ac:dyDescent="0.25">
      <c r="A922">
        <v>0</v>
      </c>
      <c r="E922">
        <v>922</v>
      </c>
      <c r="G922" t="str">
        <f t="shared" si="131"/>
        <v>9</v>
      </c>
      <c r="H922" t="str">
        <f t="shared" si="132"/>
        <v>2</v>
      </c>
      <c r="I922" t="str">
        <f t="shared" si="133"/>
        <v>2</v>
      </c>
      <c r="K922" t="str">
        <f t="shared" si="136"/>
        <v>9</v>
      </c>
      <c r="L922" t="str">
        <f t="shared" si="137"/>
        <v>2</v>
      </c>
      <c r="M922" t="str">
        <f t="shared" si="138"/>
        <v>2</v>
      </c>
      <c r="O922" s="69">
        <f t="shared" si="130"/>
        <v>13</v>
      </c>
      <c r="P922">
        <f t="shared" si="134"/>
        <v>78</v>
      </c>
      <c r="Q922" t="str">
        <f t="shared" si="135"/>
        <v xml:space="preserve"> </v>
      </c>
    </row>
    <row r="923" spans="1:17" x14ac:dyDescent="0.25">
      <c r="A923">
        <v>0</v>
      </c>
      <c r="E923">
        <v>923</v>
      </c>
      <c r="G923" t="str">
        <f t="shared" si="131"/>
        <v>9</v>
      </c>
      <c r="H923" t="str">
        <f t="shared" si="132"/>
        <v>2</v>
      </c>
      <c r="I923" t="str">
        <f t="shared" si="133"/>
        <v>3</v>
      </c>
      <c r="K923" t="str">
        <f t="shared" si="136"/>
        <v>9</v>
      </c>
      <c r="L923" t="str">
        <f t="shared" si="137"/>
        <v>2</v>
      </c>
      <c r="M923" t="str">
        <f t="shared" si="138"/>
        <v>3</v>
      </c>
      <c r="O923" s="69">
        <f t="shared" si="130"/>
        <v>14</v>
      </c>
      <c r="P923">
        <f t="shared" si="134"/>
        <v>84</v>
      </c>
      <c r="Q923" t="str">
        <f t="shared" si="135"/>
        <v xml:space="preserve"> </v>
      </c>
    </row>
    <row r="924" spans="1:17" x14ac:dyDescent="0.25">
      <c r="A924">
        <v>0</v>
      </c>
      <c r="E924">
        <v>924</v>
      </c>
      <c r="G924" t="str">
        <f t="shared" si="131"/>
        <v>9</v>
      </c>
      <c r="H924" t="str">
        <f t="shared" si="132"/>
        <v>2</v>
      </c>
      <c r="I924" t="str">
        <f t="shared" si="133"/>
        <v>4</v>
      </c>
      <c r="K924" t="str">
        <f t="shared" si="136"/>
        <v>9</v>
      </c>
      <c r="L924" t="str">
        <f t="shared" si="137"/>
        <v>2</v>
      </c>
      <c r="M924" t="str">
        <f t="shared" si="138"/>
        <v>4</v>
      </c>
      <c r="O924" s="69">
        <f t="shared" si="130"/>
        <v>15</v>
      </c>
      <c r="P924">
        <f t="shared" si="134"/>
        <v>90</v>
      </c>
      <c r="Q924" t="str">
        <f t="shared" si="135"/>
        <v xml:space="preserve"> </v>
      </c>
    </row>
    <row r="925" spans="1:17" x14ac:dyDescent="0.25">
      <c r="A925">
        <v>0</v>
      </c>
      <c r="E925">
        <v>925</v>
      </c>
      <c r="G925" t="str">
        <f t="shared" si="131"/>
        <v>9</v>
      </c>
      <c r="H925" t="str">
        <f t="shared" si="132"/>
        <v>2</v>
      </c>
      <c r="I925" t="str">
        <f t="shared" si="133"/>
        <v>5</v>
      </c>
      <c r="K925" t="str">
        <f t="shared" si="136"/>
        <v>9</v>
      </c>
      <c r="L925" t="str">
        <f t="shared" si="137"/>
        <v>2</v>
      </c>
      <c r="M925" t="str">
        <f t="shared" si="138"/>
        <v>5</v>
      </c>
      <c r="O925" s="69">
        <f t="shared" si="130"/>
        <v>16</v>
      </c>
      <c r="P925">
        <f t="shared" si="134"/>
        <v>96</v>
      </c>
      <c r="Q925" t="str">
        <f t="shared" si="135"/>
        <v xml:space="preserve"> </v>
      </c>
    </row>
    <row r="926" spans="1:17" x14ac:dyDescent="0.25">
      <c r="A926">
        <v>0</v>
      </c>
      <c r="E926">
        <v>926</v>
      </c>
      <c r="G926" t="str">
        <f t="shared" si="131"/>
        <v>9</v>
      </c>
      <c r="H926" t="str">
        <f t="shared" si="132"/>
        <v>2</v>
      </c>
      <c r="I926" t="str">
        <f t="shared" si="133"/>
        <v>6</v>
      </c>
      <c r="K926" t="str">
        <f t="shared" si="136"/>
        <v>9</v>
      </c>
      <c r="L926" t="str">
        <f t="shared" si="137"/>
        <v>2</v>
      </c>
      <c r="M926" t="str">
        <f t="shared" si="138"/>
        <v>6</v>
      </c>
      <c r="O926" s="69">
        <f t="shared" si="130"/>
        <v>17</v>
      </c>
      <c r="P926">
        <f t="shared" si="134"/>
        <v>102</v>
      </c>
      <c r="Q926" t="str">
        <f t="shared" si="135"/>
        <v xml:space="preserve"> </v>
      </c>
    </row>
    <row r="927" spans="1:17" x14ac:dyDescent="0.25">
      <c r="A927">
        <v>0</v>
      </c>
      <c r="E927">
        <v>927</v>
      </c>
      <c r="G927" t="str">
        <f t="shared" si="131"/>
        <v>9</v>
      </c>
      <c r="H927" t="str">
        <f t="shared" si="132"/>
        <v>2</v>
      </c>
      <c r="I927" t="str">
        <f t="shared" si="133"/>
        <v>7</v>
      </c>
      <c r="K927" t="str">
        <f t="shared" si="136"/>
        <v>9</v>
      </c>
      <c r="L927" t="str">
        <f t="shared" si="137"/>
        <v>2</v>
      </c>
      <c r="M927" t="str">
        <f t="shared" si="138"/>
        <v>7</v>
      </c>
      <c r="O927" s="69">
        <f t="shared" si="130"/>
        <v>18</v>
      </c>
      <c r="P927">
        <f t="shared" si="134"/>
        <v>108</v>
      </c>
      <c r="Q927" t="str">
        <f t="shared" si="135"/>
        <v xml:space="preserve"> </v>
      </c>
    </row>
    <row r="928" spans="1:17" x14ac:dyDescent="0.25">
      <c r="A928">
        <v>0</v>
      </c>
      <c r="E928">
        <v>928</v>
      </c>
      <c r="G928" t="str">
        <f t="shared" si="131"/>
        <v>9</v>
      </c>
      <c r="H928" t="str">
        <f t="shared" si="132"/>
        <v>2</v>
      </c>
      <c r="I928" t="str">
        <f t="shared" si="133"/>
        <v>8</v>
      </c>
      <c r="K928" t="str">
        <f t="shared" si="136"/>
        <v>9</v>
      </c>
      <c r="L928" t="str">
        <f t="shared" si="137"/>
        <v>2</v>
      </c>
      <c r="M928" t="str">
        <f t="shared" si="138"/>
        <v>8</v>
      </c>
      <c r="O928" s="69">
        <f t="shared" si="130"/>
        <v>19</v>
      </c>
      <c r="P928">
        <f t="shared" si="134"/>
        <v>114</v>
      </c>
      <c r="Q928" t="str">
        <f t="shared" si="135"/>
        <v xml:space="preserve"> </v>
      </c>
    </row>
    <row r="929" spans="1:17" x14ac:dyDescent="0.25">
      <c r="A929">
        <v>0</v>
      </c>
      <c r="E929">
        <v>929</v>
      </c>
      <c r="G929" t="str">
        <f t="shared" si="131"/>
        <v>9</v>
      </c>
      <c r="H929" t="str">
        <f t="shared" si="132"/>
        <v>2</v>
      </c>
      <c r="I929" t="str">
        <f t="shared" si="133"/>
        <v>9</v>
      </c>
      <c r="K929" t="str">
        <f t="shared" si="136"/>
        <v>9</v>
      </c>
      <c r="L929" t="str">
        <f t="shared" si="137"/>
        <v>2</v>
      </c>
      <c r="M929" t="str">
        <f t="shared" si="138"/>
        <v>9</v>
      </c>
      <c r="O929" s="69">
        <f t="shared" si="130"/>
        <v>20</v>
      </c>
      <c r="P929">
        <f t="shared" si="134"/>
        <v>120</v>
      </c>
      <c r="Q929" t="str">
        <f t="shared" si="135"/>
        <v xml:space="preserve"> </v>
      </c>
    </row>
    <row r="930" spans="1:17" x14ac:dyDescent="0.25">
      <c r="A930">
        <v>0</v>
      </c>
      <c r="E930">
        <v>930</v>
      </c>
      <c r="G930" t="str">
        <f t="shared" si="131"/>
        <v>9</v>
      </c>
      <c r="H930" t="str">
        <f t="shared" si="132"/>
        <v>3</v>
      </c>
      <c r="I930" t="str">
        <f t="shared" si="133"/>
        <v>0</v>
      </c>
      <c r="K930" t="str">
        <f t="shared" si="136"/>
        <v>9</v>
      </c>
      <c r="L930" t="str">
        <f t="shared" si="137"/>
        <v>3</v>
      </c>
      <c r="M930" t="str">
        <f t="shared" si="138"/>
        <v>0</v>
      </c>
      <c r="O930" s="69">
        <f t="shared" si="130"/>
        <v>12</v>
      </c>
      <c r="P930">
        <f t="shared" si="134"/>
        <v>72</v>
      </c>
      <c r="Q930" t="str">
        <f t="shared" si="135"/>
        <v xml:space="preserve"> </v>
      </c>
    </row>
    <row r="931" spans="1:17" x14ac:dyDescent="0.25">
      <c r="A931">
        <v>0</v>
      </c>
      <c r="E931">
        <v>931</v>
      </c>
      <c r="G931" t="str">
        <f t="shared" si="131"/>
        <v>9</v>
      </c>
      <c r="H931" t="str">
        <f t="shared" si="132"/>
        <v>3</v>
      </c>
      <c r="I931" t="str">
        <f t="shared" si="133"/>
        <v>1</v>
      </c>
      <c r="K931" t="str">
        <f t="shared" si="136"/>
        <v>9</v>
      </c>
      <c r="L931" t="str">
        <f t="shared" si="137"/>
        <v>3</v>
      </c>
      <c r="M931" t="str">
        <f t="shared" si="138"/>
        <v>1</v>
      </c>
      <c r="O931" s="69">
        <f t="shared" si="130"/>
        <v>13</v>
      </c>
      <c r="P931">
        <f t="shared" si="134"/>
        <v>78</v>
      </c>
      <c r="Q931" t="str">
        <f t="shared" si="135"/>
        <v xml:space="preserve"> </v>
      </c>
    </row>
    <row r="932" spans="1:17" x14ac:dyDescent="0.25">
      <c r="A932">
        <v>0</v>
      </c>
      <c r="E932">
        <v>932</v>
      </c>
      <c r="G932" t="str">
        <f t="shared" si="131"/>
        <v>9</v>
      </c>
      <c r="H932" t="str">
        <f t="shared" si="132"/>
        <v>3</v>
      </c>
      <c r="I932" t="str">
        <f t="shared" si="133"/>
        <v>2</v>
      </c>
      <c r="K932" t="str">
        <f t="shared" si="136"/>
        <v>9</v>
      </c>
      <c r="L932" t="str">
        <f t="shared" si="137"/>
        <v>3</v>
      </c>
      <c r="M932" t="str">
        <f t="shared" si="138"/>
        <v>2</v>
      </c>
      <c r="O932" s="69">
        <f t="shared" si="130"/>
        <v>14</v>
      </c>
      <c r="P932">
        <f t="shared" si="134"/>
        <v>84</v>
      </c>
      <c r="Q932" t="str">
        <f t="shared" si="135"/>
        <v xml:space="preserve"> </v>
      </c>
    </row>
    <row r="933" spans="1:17" x14ac:dyDescent="0.25">
      <c r="A933">
        <v>0</v>
      </c>
      <c r="E933">
        <v>933</v>
      </c>
      <c r="G933" t="str">
        <f t="shared" si="131"/>
        <v>9</v>
      </c>
      <c r="H933" t="str">
        <f t="shared" si="132"/>
        <v>3</v>
      </c>
      <c r="I933" t="str">
        <f t="shared" si="133"/>
        <v>3</v>
      </c>
      <c r="K933" t="str">
        <f t="shared" si="136"/>
        <v>9</v>
      </c>
      <c r="L933" t="str">
        <f t="shared" si="137"/>
        <v>3</v>
      </c>
      <c r="M933" t="str">
        <f t="shared" si="138"/>
        <v>3</v>
      </c>
      <c r="O933" s="69">
        <f t="shared" ref="O933:O996" si="139">+K933+L933+M933</f>
        <v>15</v>
      </c>
      <c r="P933">
        <f t="shared" si="134"/>
        <v>90</v>
      </c>
      <c r="Q933" t="str">
        <f t="shared" si="135"/>
        <v xml:space="preserve"> </v>
      </c>
    </row>
    <row r="934" spans="1:17" x14ac:dyDescent="0.25">
      <c r="A934">
        <v>0</v>
      </c>
      <c r="E934">
        <v>934</v>
      </c>
      <c r="G934" t="str">
        <f t="shared" si="131"/>
        <v>9</v>
      </c>
      <c r="H934" t="str">
        <f t="shared" si="132"/>
        <v>3</v>
      </c>
      <c r="I934" t="str">
        <f t="shared" si="133"/>
        <v>4</v>
      </c>
      <c r="K934" t="str">
        <f t="shared" si="136"/>
        <v>9</v>
      </c>
      <c r="L934" t="str">
        <f t="shared" si="137"/>
        <v>3</v>
      </c>
      <c r="M934" t="str">
        <f t="shared" si="138"/>
        <v>4</v>
      </c>
      <c r="O934" s="69">
        <f t="shared" si="139"/>
        <v>16</v>
      </c>
      <c r="P934">
        <f t="shared" si="134"/>
        <v>96</v>
      </c>
      <c r="Q934" t="str">
        <f t="shared" si="135"/>
        <v xml:space="preserve"> </v>
      </c>
    </row>
    <row r="935" spans="1:17" x14ac:dyDescent="0.25">
      <c r="A935">
        <v>0</v>
      </c>
      <c r="E935">
        <v>935</v>
      </c>
      <c r="G935" t="str">
        <f t="shared" si="131"/>
        <v>9</v>
      </c>
      <c r="H935" t="str">
        <f t="shared" si="132"/>
        <v>3</v>
      </c>
      <c r="I935" t="str">
        <f t="shared" si="133"/>
        <v>5</v>
      </c>
      <c r="K935" t="str">
        <f t="shared" si="136"/>
        <v>9</v>
      </c>
      <c r="L935" t="str">
        <f t="shared" si="137"/>
        <v>3</v>
      </c>
      <c r="M935" t="str">
        <f t="shared" si="138"/>
        <v>5</v>
      </c>
      <c r="O935" s="69">
        <f t="shared" si="139"/>
        <v>17</v>
      </c>
      <c r="P935">
        <f t="shared" si="134"/>
        <v>102</v>
      </c>
      <c r="Q935" t="str">
        <f t="shared" si="135"/>
        <v xml:space="preserve"> </v>
      </c>
    </row>
    <row r="936" spans="1:17" x14ac:dyDescent="0.25">
      <c r="A936">
        <v>0</v>
      </c>
      <c r="E936">
        <v>936</v>
      </c>
      <c r="G936" t="str">
        <f t="shared" si="131"/>
        <v>9</v>
      </c>
      <c r="H936" t="str">
        <f t="shared" si="132"/>
        <v>3</v>
      </c>
      <c r="I936" t="str">
        <f t="shared" si="133"/>
        <v>6</v>
      </c>
      <c r="K936" t="str">
        <f t="shared" si="136"/>
        <v>9</v>
      </c>
      <c r="L936" t="str">
        <f t="shared" si="137"/>
        <v>3</v>
      </c>
      <c r="M936" t="str">
        <f t="shared" si="138"/>
        <v>6</v>
      </c>
      <c r="O936" s="69">
        <f t="shared" si="139"/>
        <v>18</v>
      </c>
      <c r="P936">
        <f t="shared" si="134"/>
        <v>108</v>
      </c>
      <c r="Q936" t="str">
        <f t="shared" si="135"/>
        <v xml:space="preserve"> </v>
      </c>
    </row>
    <row r="937" spans="1:17" x14ac:dyDescent="0.25">
      <c r="A937">
        <v>0</v>
      </c>
      <c r="E937">
        <v>937</v>
      </c>
      <c r="G937" t="str">
        <f t="shared" si="131"/>
        <v>9</v>
      </c>
      <c r="H937" t="str">
        <f t="shared" si="132"/>
        <v>3</v>
      </c>
      <c r="I937" t="str">
        <f t="shared" si="133"/>
        <v>7</v>
      </c>
      <c r="K937" t="str">
        <f t="shared" si="136"/>
        <v>9</v>
      </c>
      <c r="L937" t="str">
        <f t="shared" si="137"/>
        <v>3</v>
      </c>
      <c r="M937" t="str">
        <f t="shared" si="138"/>
        <v>7</v>
      </c>
      <c r="O937" s="69">
        <f t="shared" si="139"/>
        <v>19</v>
      </c>
      <c r="P937">
        <f t="shared" si="134"/>
        <v>114</v>
      </c>
      <c r="Q937" t="str">
        <f t="shared" si="135"/>
        <v xml:space="preserve"> </v>
      </c>
    </row>
    <row r="938" spans="1:17" x14ac:dyDescent="0.25">
      <c r="A938">
        <v>0</v>
      </c>
      <c r="E938">
        <v>938</v>
      </c>
      <c r="G938" t="str">
        <f t="shared" si="131"/>
        <v>9</v>
      </c>
      <c r="H938" t="str">
        <f t="shared" si="132"/>
        <v>3</v>
      </c>
      <c r="I938" t="str">
        <f t="shared" si="133"/>
        <v>8</v>
      </c>
      <c r="K938" t="str">
        <f t="shared" si="136"/>
        <v>9</v>
      </c>
      <c r="L938" t="str">
        <f t="shared" si="137"/>
        <v>3</v>
      </c>
      <c r="M938" t="str">
        <f t="shared" si="138"/>
        <v>8</v>
      </c>
      <c r="O938" s="69">
        <f t="shared" si="139"/>
        <v>20</v>
      </c>
      <c r="P938">
        <f t="shared" si="134"/>
        <v>120</v>
      </c>
      <c r="Q938" t="str">
        <f t="shared" si="135"/>
        <v xml:space="preserve"> </v>
      </c>
    </row>
    <row r="939" spans="1:17" x14ac:dyDescent="0.25">
      <c r="A939">
        <v>0</v>
      </c>
      <c r="E939">
        <v>939</v>
      </c>
      <c r="G939" t="str">
        <f t="shared" si="131"/>
        <v>9</v>
      </c>
      <c r="H939" t="str">
        <f t="shared" si="132"/>
        <v>3</v>
      </c>
      <c r="I939" t="str">
        <f t="shared" si="133"/>
        <v>9</v>
      </c>
      <c r="K939" t="str">
        <f t="shared" si="136"/>
        <v>9</v>
      </c>
      <c r="L939" t="str">
        <f t="shared" si="137"/>
        <v>3</v>
      </c>
      <c r="M939" t="str">
        <f t="shared" si="138"/>
        <v>9</v>
      </c>
      <c r="O939" s="69">
        <f t="shared" si="139"/>
        <v>21</v>
      </c>
      <c r="P939">
        <f t="shared" si="134"/>
        <v>126</v>
      </c>
      <c r="Q939" t="str">
        <f t="shared" si="135"/>
        <v xml:space="preserve"> </v>
      </c>
    </row>
    <row r="940" spans="1:17" x14ac:dyDescent="0.25">
      <c r="A940">
        <v>0</v>
      </c>
      <c r="E940">
        <v>940</v>
      </c>
      <c r="G940" t="str">
        <f t="shared" si="131"/>
        <v>9</v>
      </c>
      <c r="H940" t="str">
        <f t="shared" si="132"/>
        <v>4</v>
      </c>
      <c r="I940" t="str">
        <f t="shared" si="133"/>
        <v>0</v>
      </c>
      <c r="K940" t="str">
        <f t="shared" si="136"/>
        <v>9</v>
      </c>
      <c r="L940" t="str">
        <f t="shared" si="137"/>
        <v>4</v>
      </c>
      <c r="M940" t="str">
        <f t="shared" si="138"/>
        <v>0</v>
      </c>
      <c r="O940" s="69">
        <f t="shared" si="139"/>
        <v>13</v>
      </c>
      <c r="P940">
        <f t="shared" si="134"/>
        <v>78</v>
      </c>
      <c r="Q940" t="str">
        <f t="shared" si="135"/>
        <v xml:space="preserve"> </v>
      </c>
    </row>
    <row r="941" spans="1:17" x14ac:dyDescent="0.25">
      <c r="A941">
        <v>0</v>
      </c>
      <c r="E941">
        <v>941</v>
      </c>
      <c r="G941" t="str">
        <f t="shared" si="131"/>
        <v>9</v>
      </c>
      <c r="H941" t="str">
        <f t="shared" si="132"/>
        <v>4</v>
      </c>
      <c r="I941" t="str">
        <f t="shared" si="133"/>
        <v>1</v>
      </c>
      <c r="K941" t="str">
        <f t="shared" si="136"/>
        <v>9</v>
      </c>
      <c r="L941" t="str">
        <f t="shared" si="137"/>
        <v>4</v>
      </c>
      <c r="M941" t="str">
        <f t="shared" si="138"/>
        <v>1</v>
      </c>
      <c r="O941" s="69">
        <f t="shared" si="139"/>
        <v>14</v>
      </c>
      <c r="P941">
        <f t="shared" si="134"/>
        <v>84</v>
      </c>
      <c r="Q941" t="str">
        <f t="shared" si="135"/>
        <v xml:space="preserve"> </v>
      </c>
    </row>
    <row r="942" spans="1:17" x14ac:dyDescent="0.25">
      <c r="A942">
        <v>0</v>
      </c>
      <c r="E942">
        <v>942</v>
      </c>
      <c r="G942" t="str">
        <f t="shared" si="131"/>
        <v>9</v>
      </c>
      <c r="H942" t="str">
        <f t="shared" si="132"/>
        <v>4</v>
      </c>
      <c r="I942" t="str">
        <f t="shared" si="133"/>
        <v>2</v>
      </c>
      <c r="K942" t="str">
        <f t="shared" si="136"/>
        <v>9</v>
      </c>
      <c r="L942" t="str">
        <f t="shared" si="137"/>
        <v>4</v>
      </c>
      <c r="M942" t="str">
        <f t="shared" si="138"/>
        <v>2</v>
      </c>
      <c r="O942" s="69">
        <f t="shared" si="139"/>
        <v>15</v>
      </c>
      <c r="P942">
        <f t="shared" si="134"/>
        <v>90</v>
      </c>
      <c r="Q942" t="str">
        <f t="shared" si="135"/>
        <v xml:space="preserve"> </v>
      </c>
    </row>
    <row r="943" spans="1:17" x14ac:dyDescent="0.25">
      <c r="A943">
        <v>0</v>
      </c>
      <c r="E943">
        <v>943</v>
      </c>
      <c r="G943" t="str">
        <f t="shared" si="131"/>
        <v>9</v>
      </c>
      <c r="H943" t="str">
        <f t="shared" si="132"/>
        <v>4</v>
      </c>
      <c r="I943" t="str">
        <f t="shared" si="133"/>
        <v>3</v>
      </c>
      <c r="K943" t="str">
        <f t="shared" si="136"/>
        <v>9</v>
      </c>
      <c r="L943" t="str">
        <f t="shared" si="137"/>
        <v>4</v>
      </c>
      <c r="M943" t="str">
        <f t="shared" si="138"/>
        <v>3</v>
      </c>
      <c r="O943" s="69">
        <f t="shared" si="139"/>
        <v>16</v>
      </c>
      <c r="P943">
        <f t="shared" si="134"/>
        <v>96</v>
      </c>
      <c r="Q943" t="str">
        <f t="shared" si="135"/>
        <v xml:space="preserve"> </v>
      </c>
    </row>
    <row r="944" spans="1:17" x14ac:dyDescent="0.25">
      <c r="A944">
        <v>0</v>
      </c>
      <c r="E944">
        <v>944</v>
      </c>
      <c r="G944" t="str">
        <f t="shared" si="131"/>
        <v>9</v>
      </c>
      <c r="H944" t="str">
        <f t="shared" si="132"/>
        <v>4</v>
      </c>
      <c r="I944" t="str">
        <f t="shared" si="133"/>
        <v>4</v>
      </c>
      <c r="K944" t="str">
        <f t="shared" si="136"/>
        <v>9</v>
      </c>
      <c r="L944" t="str">
        <f t="shared" si="137"/>
        <v>4</v>
      </c>
      <c r="M944" t="str">
        <f t="shared" si="138"/>
        <v>4</v>
      </c>
      <c r="O944" s="69">
        <f t="shared" si="139"/>
        <v>17</v>
      </c>
      <c r="P944">
        <f t="shared" si="134"/>
        <v>102</v>
      </c>
      <c r="Q944" t="str">
        <f t="shared" si="135"/>
        <v xml:space="preserve"> </v>
      </c>
    </row>
    <row r="945" spans="1:17" x14ac:dyDescent="0.25">
      <c r="A945">
        <v>0</v>
      </c>
      <c r="E945">
        <v>945</v>
      </c>
      <c r="G945" t="str">
        <f t="shared" si="131"/>
        <v>9</v>
      </c>
      <c r="H945" t="str">
        <f t="shared" si="132"/>
        <v>4</v>
      </c>
      <c r="I945" t="str">
        <f t="shared" si="133"/>
        <v>5</v>
      </c>
      <c r="K945" t="str">
        <f t="shared" si="136"/>
        <v>9</v>
      </c>
      <c r="L945" t="str">
        <f t="shared" si="137"/>
        <v>4</v>
      </c>
      <c r="M945" t="str">
        <f t="shared" si="138"/>
        <v>5</v>
      </c>
      <c r="O945" s="69">
        <f t="shared" si="139"/>
        <v>18</v>
      </c>
      <c r="P945">
        <f t="shared" si="134"/>
        <v>108</v>
      </c>
      <c r="Q945" t="str">
        <f t="shared" si="135"/>
        <v xml:space="preserve"> </v>
      </c>
    </row>
    <row r="946" spans="1:17" x14ac:dyDescent="0.25">
      <c r="A946">
        <v>0</v>
      </c>
      <c r="E946">
        <v>946</v>
      </c>
      <c r="G946" t="str">
        <f t="shared" si="131"/>
        <v>9</v>
      </c>
      <c r="H946" t="str">
        <f t="shared" si="132"/>
        <v>4</v>
      </c>
      <c r="I946" t="str">
        <f t="shared" si="133"/>
        <v>6</v>
      </c>
      <c r="K946" t="str">
        <f t="shared" si="136"/>
        <v>9</v>
      </c>
      <c r="L946" t="str">
        <f t="shared" si="137"/>
        <v>4</v>
      </c>
      <c r="M946" t="str">
        <f t="shared" si="138"/>
        <v>6</v>
      </c>
      <c r="O946" s="69">
        <f t="shared" si="139"/>
        <v>19</v>
      </c>
      <c r="P946">
        <f t="shared" si="134"/>
        <v>114</v>
      </c>
      <c r="Q946" t="str">
        <f t="shared" si="135"/>
        <v xml:space="preserve"> </v>
      </c>
    </row>
    <row r="947" spans="1:17" x14ac:dyDescent="0.25">
      <c r="A947">
        <v>0</v>
      </c>
      <c r="E947">
        <v>947</v>
      </c>
      <c r="G947" t="str">
        <f t="shared" si="131"/>
        <v>9</v>
      </c>
      <c r="H947" t="str">
        <f t="shared" si="132"/>
        <v>4</v>
      </c>
      <c r="I947" t="str">
        <f t="shared" si="133"/>
        <v>7</v>
      </c>
      <c r="K947" t="str">
        <f t="shared" si="136"/>
        <v>9</v>
      </c>
      <c r="L947" t="str">
        <f t="shared" si="137"/>
        <v>4</v>
      </c>
      <c r="M947" t="str">
        <f t="shared" si="138"/>
        <v>7</v>
      </c>
      <c r="O947" s="69">
        <f t="shared" si="139"/>
        <v>20</v>
      </c>
      <c r="P947">
        <f t="shared" si="134"/>
        <v>120</v>
      </c>
      <c r="Q947" t="str">
        <f t="shared" si="135"/>
        <v xml:space="preserve"> </v>
      </c>
    </row>
    <row r="948" spans="1:17" x14ac:dyDescent="0.25">
      <c r="A948">
        <v>0</v>
      </c>
      <c r="E948">
        <v>948</v>
      </c>
      <c r="G948" t="str">
        <f t="shared" si="131"/>
        <v>9</v>
      </c>
      <c r="H948" t="str">
        <f t="shared" si="132"/>
        <v>4</v>
      </c>
      <c r="I948" t="str">
        <f t="shared" si="133"/>
        <v>8</v>
      </c>
      <c r="K948" t="str">
        <f t="shared" si="136"/>
        <v>9</v>
      </c>
      <c r="L948" t="str">
        <f t="shared" si="137"/>
        <v>4</v>
      </c>
      <c r="M948" t="str">
        <f t="shared" si="138"/>
        <v>8</v>
      </c>
      <c r="O948" s="69">
        <f t="shared" si="139"/>
        <v>21</v>
      </c>
      <c r="P948">
        <f t="shared" si="134"/>
        <v>126</v>
      </c>
      <c r="Q948" t="str">
        <f t="shared" si="135"/>
        <v xml:space="preserve"> </v>
      </c>
    </row>
    <row r="949" spans="1:17" x14ac:dyDescent="0.25">
      <c r="A949">
        <v>0</v>
      </c>
      <c r="E949">
        <v>949</v>
      </c>
      <c r="G949" t="str">
        <f t="shared" si="131"/>
        <v>9</v>
      </c>
      <c r="H949" t="str">
        <f t="shared" si="132"/>
        <v>4</v>
      </c>
      <c r="I949" t="str">
        <f t="shared" si="133"/>
        <v>9</v>
      </c>
      <c r="K949" t="str">
        <f t="shared" si="136"/>
        <v>9</v>
      </c>
      <c r="L949" t="str">
        <f t="shared" si="137"/>
        <v>4</v>
      </c>
      <c r="M949" t="str">
        <f t="shared" si="138"/>
        <v>9</v>
      </c>
      <c r="O949" s="69">
        <f t="shared" si="139"/>
        <v>22</v>
      </c>
      <c r="P949">
        <f t="shared" si="134"/>
        <v>132</v>
      </c>
      <c r="Q949" t="str">
        <f t="shared" si="135"/>
        <v xml:space="preserve"> </v>
      </c>
    </row>
    <row r="950" spans="1:17" x14ac:dyDescent="0.25">
      <c r="A950">
        <v>0</v>
      </c>
      <c r="E950">
        <v>950</v>
      </c>
      <c r="G950" t="str">
        <f t="shared" si="131"/>
        <v>9</v>
      </c>
      <c r="H950" t="str">
        <f t="shared" si="132"/>
        <v>5</v>
      </c>
      <c r="I950" t="str">
        <f t="shared" si="133"/>
        <v>0</v>
      </c>
      <c r="K950" t="str">
        <f t="shared" si="136"/>
        <v>9</v>
      </c>
      <c r="L950" t="str">
        <f t="shared" si="137"/>
        <v>5</v>
      </c>
      <c r="M950" t="str">
        <f t="shared" si="138"/>
        <v>0</v>
      </c>
      <c r="O950" s="69">
        <f t="shared" si="139"/>
        <v>14</v>
      </c>
      <c r="P950">
        <f t="shared" si="134"/>
        <v>84</v>
      </c>
      <c r="Q950" t="str">
        <f t="shared" si="135"/>
        <v xml:space="preserve"> </v>
      </c>
    </row>
    <row r="951" spans="1:17" x14ac:dyDescent="0.25">
      <c r="A951">
        <v>0</v>
      </c>
      <c r="E951">
        <v>951</v>
      </c>
      <c r="G951" t="str">
        <f t="shared" si="131"/>
        <v>9</v>
      </c>
      <c r="H951" t="str">
        <f t="shared" si="132"/>
        <v>5</v>
      </c>
      <c r="I951" t="str">
        <f t="shared" si="133"/>
        <v>1</v>
      </c>
      <c r="K951" t="str">
        <f t="shared" si="136"/>
        <v>9</v>
      </c>
      <c r="L951" t="str">
        <f t="shared" si="137"/>
        <v>5</v>
      </c>
      <c r="M951" t="str">
        <f t="shared" si="138"/>
        <v>1</v>
      </c>
      <c r="O951" s="69">
        <f t="shared" si="139"/>
        <v>15</v>
      </c>
      <c r="P951">
        <f t="shared" si="134"/>
        <v>90</v>
      </c>
      <c r="Q951" t="str">
        <f t="shared" si="135"/>
        <v xml:space="preserve"> </v>
      </c>
    </row>
    <row r="952" spans="1:17" x14ac:dyDescent="0.25">
      <c r="A952">
        <v>0</v>
      </c>
      <c r="E952">
        <v>952</v>
      </c>
      <c r="G952" t="str">
        <f t="shared" si="131"/>
        <v>9</v>
      </c>
      <c r="H952" t="str">
        <f t="shared" si="132"/>
        <v>5</v>
      </c>
      <c r="I952" t="str">
        <f t="shared" si="133"/>
        <v>2</v>
      </c>
      <c r="K952" t="str">
        <f t="shared" si="136"/>
        <v>9</v>
      </c>
      <c r="L952" t="str">
        <f t="shared" si="137"/>
        <v>5</v>
      </c>
      <c r="M952" t="str">
        <f t="shared" si="138"/>
        <v>2</v>
      </c>
      <c r="O952" s="69">
        <f t="shared" si="139"/>
        <v>16</v>
      </c>
      <c r="P952">
        <f t="shared" si="134"/>
        <v>96</v>
      </c>
      <c r="Q952" t="str">
        <f t="shared" si="135"/>
        <v xml:space="preserve"> </v>
      </c>
    </row>
    <row r="953" spans="1:17" x14ac:dyDescent="0.25">
      <c r="A953">
        <v>0</v>
      </c>
      <c r="E953">
        <v>953</v>
      </c>
      <c r="G953" t="str">
        <f t="shared" si="131"/>
        <v>9</v>
      </c>
      <c r="H953" t="str">
        <f t="shared" si="132"/>
        <v>5</v>
      </c>
      <c r="I953" t="str">
        <f t="shared" si="133"/>
        <v>3</v>
      </c>
      <c r="K953" t="str">
        <f t="shared" si="136"/>
        <v>9</v>
      </c>
      <c r="L953" t="str">
        <f t="shared" si="137"/>
        <v>5</v>
      </c>
      <c r="M953" t="str">
        <f t="shared" si="138"/>
        <v>3</v>
      </c>
      <c r="O953" s="69">
        <f t="shared" si="139"/>
        <v>17</v>
      </c>
      <c r="P953">
        <f t="shared" si="134"/>
        <v>102</v>
      </c>
      <c r="Q953" t="str">
        <f t="shared" si="135"/>
        <v xml:space="preserve"> </v>
      </c>
    </row>
    <row r="954" spans="1:17" x14ac:dyDescent="0.25">
      <c r="A954">
        <v>0</v>
      </c>
      <c r="E954">
        <v>954</v>
      </c>
      <c r="G954" t="str">
        <f t="shared" si="131"/>
        <v>9</v>
      </c>
      <c r="H954" t="str">
        <f t="shared" si="132"/>
        <v>5</v>
      </c>
      <c r="I954" t="str">
        <f t="shared" si="133"/>
        <v>4</v>
      </c>
      <c r="K954" t="str">
        <f t="shared" si="136"/>
        <v>9</v>
      </c>
      <c r="L954" t="str">
        <f t="shared" si="137"/>
        <v>5</v>
      </c>
      <c r="M954" t="str">
        <f t="shared" si="138"/>
        <v>4</v>
      </c>
      <c r="O954" s="69">
        <f t="shared" si="139"/>
        <v>18</v>
      </c>
      <c r="P954">
        <f t="shared" si="134"/>
        <v>108</v>
      </c>
      <c r="Q954" t="str">
        <f t="shared" si="135"/>
        <v xml:space="preserve"> </v>
      </c>
    </row>
    <row r="955" spans="1:17" x14ac:dyDescent="0.25">
      <c r="A955">
        <v>0</v>
      </c>
      <c r="E955">
        <v>955</v>
      </c>
      <c r="G955" t="str">
        <f t="shared" si="131"/>
        <v>9</v>
      </c>
      <c r="H955" t="str">
        <f t="shared" si="132"/>
        <v>5</v>
      </c>
      <c r="I955" t="str">
        <f t="shared" si="133"/>
        <v>5</v>
      </c>
      <c r="K955" t="str">
        <f t="shared" si="136"/>
        <v>9</v>
      </c>
      <c r="L955" t="str">
        <f t="shared" si="137"/>
        <v>5</v>
      </c>
      <c r="M955" t="str">
        <f t="shared" si="138"/>
        <v>5</v>
      </c>
      <c r="O955" s="69">
        <f t="shared" si="139"/>
        <v>19</v>
      </c>
      <c r="P955">
        <f t="shared" si="134"/>
        <v>114</v>
      </c>
      <c r="Q955" t="str">
        <f t="shared" si="135"/>
        <v xml:space="preserve"> </v>
      </c>
    </row>
    <row r="956" spans="1:17" x14ac:dyDescent="0.25">
      <c r="A956">
        <v>0</v>
      </c>
      <c r="E956">
        <v>956</v>
      </c>
      <c r="G956" t="str">
        <f t="shared" si="131"/>
        <v>9</v>
      </c>
      <c r="H956" t="str">
        <f t="shared" si="132"/>
        <v>5</v>
      </c>
      <c r="I956" t="str">
        <f t="shared" si="133"/>
        <v>6</v>
      </c>
      <c r="K956" t="str">
        <f t="shared" si="136"/>
        <v>9</v>
      </c>
      <c r="L956" t="str">
        <f t="shared" si="137"/>
        <v>5</v>
      </c>
      <c r="M956" t="str">
        <f t="shared" si="138"/>
        <v>6</v>
      </c>
      <c r="O956" s="69">
        <f t="shared" si="139"/>
        <v>20</v>
      </c>
      <c r="P956">
        <f t="shared" si="134"/>
        <v>120</v>
      </c>
      <c r="Q956" t="str">
        <f t="shared" si="135"/>
        <v xml:space="preserve"> </v>
      </c>
    </row>
    <row r="957" spans="1:17" x14ac:dyDescent="0.25">
      <c r="A957">
        <v>0</v>
      </c>
      <c r="E957">
        <v>957</v>
      </c>
      <c r="G957" t="str">
        <f t="shared" si="131"/>
        <v>9</v>
      </c>
      <c r="H957" t="str">
        <f t="shared" si="132"/>
        <v>5</v>
      </c>
      <c r="I957" t="str">
        <f t="shared" si="133"/>
        <v>7</v>
      </c>
      <c r="K957" t="str">
        <f t="shared" si="136"/>
        <v>9</v>
      </c>
      <c r="L957" t="str">
        <f t="shared" si="137"/>
        <v>5</v>
      </c>
      <c r="M957" t="str">
        <f t="shared" si="138"/>
        <v>7</v>
      </c>
      <c r="O957" s="69">
        <f t="shared" si="139"/>
        <v>21</v>
      </c>
      <c r="P957">
        <f t="shared" si="134"/>
        <v>126</v>
      </c>
      <c r="Q957" t="str">
        <f t="shared" si="135"/>
        <v xml:space="preserve"> </v>
      </c>
    </row>
    <row r="958" spans="1:17" x14ac:dyDescent="0.25">
      <c r="A958">
        <v>0</v>
      </c>
      <c r="E958">
        <v>958</v>
      </c>
      <c r="G958" t="str">
        <f t="shared" si="131"/>
        <v>9</v>
      </c>
      <c r="H958" t="str">
        <f t="shared" si="132"/>
        <v>5</v>
      </c>
      <c r="I958" t="str">
        <f t="shared" si="133"/>
        <v>8</v>
      </c>
      <c r="K958" t="str">
        <f t="shared" si="136"/>
        <v>9</v>
      </c>
      <c r="L958" t="str">
        <f t="shared" si="137"/>
        <v>5</v>
      </c>
      <c r="M958" t="str">
        <f t="shared" si="138"/>
        <v>8</v>
      </c>
      <c r="O958" s="69">
        <f t="shared" si="139"/>
        <v>22</v>
      </c>
      <c r="P958">
        <f t="shared" si="134"/>
        <v>132</v>
      </c>
      <c r="Q958" t="str">
        <f t="shared" si="135"/>
        <v xml:space="preserve"> </v>
      </c>
    </row>
    <row r="959" spans="1:17" x14ac:dyDescent="0.25">
      <c r="A959">
        <v>0</v>
      </c>
      <c r="E959">
        <v>959</v>
      </c>
      <c r="G959" t="str">
        <f t="shared" si="131"/>
        <v>9</v>
      </c>
      <c r="H959" t="str">
        <f t="shared" si="132"/>
        <v>5</v>
      </c>
      <c r="I959" t="str">
        <f t="shared" si="133"/>
        <v>9</v>
      </c>
      <c r="K959" t="str">
        <f t="shared" si="136"/>
        <v>9</v>
      </c>
      <c r="L959" t="str">
        <f t="shared" si="137"/>
        <v>5</v>
      </c>
      <c r="M959" t="str">
        <f t="shared" si="138"/>
        <v>9</v>
      </c>
      <c r="O959" s="69">
        <f t="shared" si="139"/>
        <v>23</v>
      </c>
      <c r="P959">
        <f t="shared" si="134"/>
        <v>138</v>
      </c>
      <c r="Q959" t="str">
        <f t="shared" si="135"/>
        <v xml:space="preserve"> </v>
      </c>
    </row>
    <row r="960" spans="1:17" x14ac:dyDescent="0.25">
      <c r="A960">
        <v>0</v>
      </c>
      <c r="E960">
        <v>960</v>
      </c>
      <c r="G960" t="str">
        <f t="shared" si="131"/>
        <v>9</v>
      </c>
      <c r="H960" t="str">
        <f t="shared" si="132"/>
        <v>6</v>
      </c>
      <c r="I960" t="str">
        <f t="shared" si="133"/>
        <v>0</v>
      </c>
      <c r="K960" t="str">
        <f t="shared" si="136"/>
        <v>9</v>
      </c>
      <c r="L960" t="str">
        <f t="shared" si="137"/>
        <v>6</v>
      </c>
      <c r="M960" t="str">
        <f t="shared" si="138"/>
        <v>0</v>
      </c>
      <c r="O960" s="69">
        <f t="shared" si="139"/>
        <v>15</v>
      </c>
      <c r="P960">
        <f t="shared" si="134"/>
        <v>90</v>
      </c>
      <c r="Q960" t="str">
        <f t="shared" si="135"/>
        <v xml:space="preserve"> </v>
      </c>
    </row>
    <row r="961" spans="1:17" x14ac:dyDescent="0.25">
      <c r="A961">
        <v>0</v>
      </c>
      <c r="E961">
        <v>961</v>
      </c>
      <c r="G961" t="str">
        <f t="shared" si="131"/>
        <v>9</v>
      </c>
      <c r="H961" t="str">
        <f t="shared" si="132"/>
        <v>6</v>
      </c>
      <c r="I961" t="str">
        <f t="shared" si="133"/>
        <v>1</v>
      </c>
      <c r="K961" t="str">
        <f t="shared" si="136"/>
        <v>9</v>
      </c>
      <c r="L961" t="str">
        <f t="shared" si="137"/>
        <v>6</v>
      </c>
      <c r="M961" t="str">
        <f t="shared" si="138"/>
        <v>1</v>
      </c>
      <c r="O961" s="69">
        <f t="shared" si="139"/>
        <v>16</v>
      </c>
      <c r="P961">
        <f t="shared" si="134"/>
        <v>96</v>
      </c>
      <c r="Q961" t="str">
        <f t="shared" si="135"/>
        <v xml:space="preserve"> </v>
      </c>
    </row>
    <row r="962" spans="1:17" x14ac:dyDescent="0.25">
      <c r="A962">
        <v>0</v>
      </c>
      <c r="E962">
        <v>962</v>
      </c>
      <c r="G962" t="str">
        <f t="shared" ref="G962:G999" si="140">+MID(E962,1,1)</f>
        <v>9</v>
      </c>
      <c r="H962" t="str">
        <f t="shared" ref="H962:H999" si="141">+MID(E962,2,1)</f>
        <v>6</v>
      </c>
      <c r="I962" t="str">
        <f t="shared" ref="I962:I999" si="142">+MID(E962,3,1)</f>
        <v>2</v>
      </c>
      <c r="K962" t="str">
        <f t="shared" si="136"/>
        <v>9</v>
      </c>
      <c r="L962" t="str">
        <f t="shared" si="137"/>
        <v>6</v>
      </c>
      <c r="M962" t="str">
        <f t="shared" si="138"/>
        <v>2</v>
      </c>
      <c r="O962" s="69">
        <f t="shared" si="139"/>
        <v>17</v>
      </c>
      <c r="P962">
        <f t="shared" ref="P962:P999" si="143">+O962*6</f>
        <v>102</v>
      </c>
      <c r="Q962" t="str">
        <f t="shared" ref="Q962:Q999" si="144">+IF(P962=E962,"OK"," ")</f>
        <v xml:space="preserve"> </v>
      </c>
    </row>
    <row r="963" spans="1:17" x14ac:dyDescent="0.25">
      <c r="A963">
        <v>0</v>
      </c>
      <c r="E963">
        <v>963</v>
      </c>
      <c r="G963" t="str">
        <f t="shared" si="140"/>
        <v>9</v>
      </c>
      <c r="H963" t="str">
        <f t="shared" si="141"/>
        <v>6</v>
      </c>
      <c r="I963" t="str">
        <f t="shared" si="142"/>
        <v>3</v>
      </c>
      <c r="K963" t="str">
        <f t="shared" si="136"/>
        <v>9</v>
      </c>
      <c r="L963" t="str">
        <f t="shared" si="137"/>
        <v>6</v>
      </c>
      <c r="M963" t="str">
        <f t="shared" si="138"/>
        <v>3</v>
      </c>
      <c r="O963" s="69">
        <f t="shared" si="139"/>
        <v>18</v>
      </c>
      <c r="P963">
        <f t="shared" si="143"/>
        <v>108</v>
      </c>
      <c r="Q963" t="str">
        <f t="shared" si="144"/>
        <v xml:space="preserve"> </v>
      </c>
    </row>
    <row r="964" spans="1:17" x14ac:dyDescent="0.25">
      <c r="A964">
        <v>0</v>
      </c>
      <c r="E964">
        <v>964</v>
      </c>
      <c r="G964" t="str">
        <f t="shared" si="140"/>
        <v>9</v>
      </c>
      <c r="H964" t="str">
        <f t="shared" si="141"/>
        <v>6</v>
      </c>
      <c r="I964" t="str">
        <f t="shared" si="142"/>
        <v>4</v>
      </c>
      <c r="K964" t="str">
        <f t="shared" si="136"/>
        <v>9</v>
      </c>
      <c r="L964" t="str">
        <f t="shared" si="137"/>
        <v>6</v>
      </c>
      <c r="M964" t="str">
        <f t="shared" si="138"/>
        <v>4</v>
      </c>
      <c r="O964" s="69">
        <f t="shared" si="139"/>
        <v>19</v>
      </c>
      <c r="P964">
        <f t="shared" si="143"/>
        <v>114</v>
      </c>
      <c r="Q964" t="str">
        <f t="shared" si="144"/>
        <v xml:space="preserve"> </v>
      </c>
    </row>
    <row r="965" spans="1:17" x14ac:dyDescent="0.25">
      <c r="A965">
        <v>0</v>
      </c>
      <c r="E965">
        <v>965</v>
      </c>
      <c r="G965" t="str">
        <f t="shared" si="140"/>
        <v>9</v>
      </c>
      <c r="H965" t="str">
        <f t="shared" si="141"/>
        <v>6</v>
      </c>
      <c r="I965" t="str">
        <f t="shared" si="142"/>
        <v>5</v>
      </c>
      <c r="K965" t="str">
        <f t="shared" si="136"/>
        <v>9</v>
      </c>
      <c r="L965" t="str">
        <f t="shared" si="137"/>
        <v>6</v>
      </c>
      <c r="M965" t="str">
        <f t="shared" si="138"/>
        <v>5</v>
      </c>
      <c r="O965" s="69">
        <f t="shared" si="139"/>
        <v>20</v>
      </c>
      <c r="P965">
        <f t="shared" si="143"/>
        <v>120</v>
      </c>
      <c r="Q965" t="str">
        <f t="shared" si="144"/>
        <v xml:space="preserve"> </v>
      </c>
    </row>
    <row r="966" spans="1:17" x14ac:dyDescent="0.25">
      <c r="A966">
        <v>0</v>
      </c>
      <c r="E966">
        <v>966</v>
      </c>
      <c r="G966" t="str">
        <f t="shared" si="140"/>
        <v>9</v>
      </c>
      <c r="H966" t="str">
        <f t="shared" si="141"/>
        <v>6</v>
      </c>
      <c r="I966" t="str">
        <f t="shared" si="142"/>
        <v>6</v>
      </c>
      <c r="K966" t="str">
        <f t="shared" si="136"/>
        <v>9</v>
      </c>
      <c r="L966" t="str">
        <f t="shared" si="137"/>
        <v>6</v>
      </c>
      <c r="M966" t="str">
        <f t="shared" si="138"/>
        <v>6</v>
      </c>
      <c r="O966" s="69">
        <f t="shared" si="139"/>
        <v>21</v>
      </c>
      <c r="P966">
        <f t="shared" si="143"/>
        <v>126</v>
      </c>
      <c r="Q966" t="str">
        <f t="shared" si="144"/>
        <v xml:space="preserve"> </v>
      </c>
    </row>
    <row r="967" spans="1:17" x14ac:dyDescent="0.25">
      <c r="A967">
        <v>0</v>
      </c>
      <c r="E967">
        <v>967</v>
      </c>
      <c r="G967" t="str">
        <f t="shared" si="140"/>
        <v>9</v>
      </c>
      <c r="H967" t="str">
        <f t="shared" si="141"/>
        <v>6</v>
      </c>
      <c r="I967" t="str">
        <f t="shared" si="142"/>
        <v>7</v>
      </c>
      <c r="K967" t="str">
        <f t="shared" si="136"/>
        <v>9</v>
      </c>
      <c r="L967" t="str">
        <f t="shared" si="137"/>
        <v>6</v>
      </c>
      <c r="M967" t="str">
        <f t="shared" si="138"/>
        <v>7</v>
      </c>
      <c r="O967" s="69">
        <f t="shared" si="139"/>
        <v>22</v>
      </c>
      <c r="P967">
        <f t="shared" si="143"/>
        <v>132</v>
      </c>
      <c r="Q967" t="str">
        <f t="shared" si="144"/>
        <v xml:space="preserve"> </v>
      </c>
    </row>
    <row r="968" spans="1:17" x14ac:dyDescent="0.25">
      <c r="A968">
        <v>0</v>
      </c>
      <c r="E968">
        <v>968</v>
      </c>
      <c r="G968" t="str">
        <f t="shared" si="140"/>
        <v>9</v>
      </c>
      <c r="H968" t="str">
        <f t="shared" si="141"/>
        <v>6</v>
      </c>
      <c r="I968" t="str">
        <f t="shared" si="142"/>
        <v>8</v>
      </c>
      <c r="K968" t="str">
        <f t="shared" si="136"/>
        <v>9</v>
      </c>
      <c r="L968" t="str">
        <f t="shared" si="137"/>
        <v>6</v>
      </c>
      <c r="M968" t="str">
        <f t="shared" si="138"/>
        <v>8</v>
      </c>
      <c r="O968" s="69">
        <f t="shared" si="139"/>
        <v>23</v>
      </c>
      <c r="P968">
        <f t="shared" si="143"/>
        <v>138</v>
      </c>
      <c r="Q968" t="str">
        <f t="shared" si="144"/>
        <v xml:space="preserve"> </v>
      </c>
    </row>
    <row r="969" spans="1:17" x14ac:dyDescent="0.25">
      <c r="A969">
        <v>0</v>
      </c>
      <c r="E969">
        <v>969</v>
      </c>
      <c r="G969" t="str">
        <f t="shared" si="140"/>
        <v>9</v>
      </c>
      <c r="H969" t="str">
        <f t="shared" si="141"/>
        <v>6</v>
      </c>
      <c r="I969" t="str">
        <f t="shared" si="142"/>
        <v>9</v>
      </c>
      <c r="K969" t="str">
        <f t="shared" si="136"/>
        <v>9</v>
      </c>
      <c r="L969" t="str">
        <f t="shared" si="137"/>
        <v>6</v>
      </c>
      <c r="M969" t="str">
        <f t="shared" si="138"/>
        <v>9</v>
      </c>
      <c r="O969" s="69">
        <f t="shared" si="139"/>
        <v>24</v>
      </c>
      <c r="P969">
        <f t="shared" si="143"/>
        <v>144</v>
      </c>
      <c r="Q969" t="str">
        <f t="shared" si="144"/>
        <v xml:space="preserve"> </v>
      </c>
    </row>
    <row r="970" spans="1:17" x14ac:dyDescent="0.25">
      <c r="A970">
        <v>0</v>
      </c>
      <c r="E970">
        <v>970</v>
      </c>
      <c r="G970" t="str">
        <f t="shared" si="140"/>
        <v>9</v>
      </c>
      <c r="H970" t="str">
        <f t="shared" si="141"/>
        <v>7</v>
      </c>
      <c r="I970" t="str">
        <f t="shared" si="142"/>
        <v>0</v>
      </c>
      <c r="K970" t="str">
        <f t="shared" si="136"/>
        <v>9</v>
      </c>
      <c r="L970" t="str">
        <f t="shared" si="137"/>
        <v>7</v>
      </c>
      <c r="M970" t="str">
        <f t="shared" si="138"/>
        <v>0</v>
      </c>
      <c r="O970" s="69">
        <f t="shared" si="139"/>
        <v>16</v>
      </c>
      <c r="P970">
        <f t="shared" si="143"/>
        <v>96</v>
      </c>
      <c r="Q970" t="str">
        <f t="shared" si="144"/>
        <v xml:space="preserve"> </v>
      </c>
    </row>
    <row r="971" spans="1:17" x14ac:dyDescent="0.25">
      <c r="A971">
        <v>0</v>
      </c>
      <c r="E971">
        <v>971</v>
      </c>
      <c r="G971" t="str">
        <f t="shared" si="140"/>
        <v>9</v>
      </c>
      <c r="H971" t="str">
        <f t="shared" si="141"/>
        <v>7</v>
      </c>
      <c r="I971" t="str">
        <f t="shared" si="142"/>
        <v>1</v>
      </c>
      <c r="K971" t="str">
        <f t="shared" si="136"/>
        <v>9</v>
      </c>
      <c r="L971" t="str">
        <f t="shared" si="137"/>
        <v>7</v>
      </c>
      <c r="M971" t="str">
        <f t="shared" si="138"/>
        <v>1</v>
      </c>
      <c r="O971" s="69">
        <f t="shared" si="139"/>
        <v>17</v>
      </c>
      <c r="P971">
        <f t="shared" si="143"/>
        <v>102</v>
      </c>
      <c r="Q971" t="str">
        <f t="shared" si="144"/>
        <v xml:space="preserve"> </v>
      </c>
    </row>
    <row r="972" spans="1:17" x14ac:dyDescent="0.25">
      <c r="A972">
        <v>0</v>
      </c>
      <c r="E972">
        <v>972</v>
      </c>
      <c r="G972" t="str">
        <f t="shared" si="140"/>
        <v>9</v>
      </c>
      <c r="H972" t="str">
        <f t="shared" si="141"/>
        <v>7</v>
      </c>
      <c r="I972" t="str">
        <f t="shared" si="142"/>
        <v>2</v>
      </c>
      <c r="K972" t="str">
        <f t="shared" si="136"/>
        <v>9</v>
      </c>
      <c r="L972" t="str">
        <f t="shared" si="137"/>
        <v>7</v>
      </c>
      <c r="M972" t="str">
        <f t="shared" si="138"/>
        <v>2</v>
      </c>
      <c r="O972" s="69">
        <f t="shared" si="139"/>
        <v>18</v>
      </c>
      <c r="P972">
        <f t="shared" si="143"/>
        <v>108</v>
      </c>
      <c r="Q972" t="str">
        <f t="shared" si="144"/>
        <v xml:space="preserve"> </v>
      </c>
    </row>
    <row r="973" spans="1:17" x14ac:dyDescent="0.25">
      <c r="A973">
        <v>0</v>
      </c>
      <c r="E973">
        <v>973</v>
      </c>
      <c r="G973" t="str">
        <f t="shared" si="140"/>
        <v>9</v>
      </c>
      <c r="H973" t="str">
        <f t="shared" si="141"/>
        <v>7</v>
      </c>
      <c r="I973" t="str">
        <f t="shared" si="142"/>
        <v>3</v>
      </c>
      <c r="K973" t="str">
        <f t="shared" si="136"/>
        <v>9</v>
      </c>
      <c r="L973" t="str">
        <f t="shared" si="137"/>
        <v>7</v>
      </c>
      <c r="M973" t="str">
        <f t="shared" si="138"/>
        <v>3</v>
      </c>
      <c r="O973" s="69">
        <f t="shared" si="139"/>
        <v>19</v>
      </c>
      <c r="P973">
        <f t="shared" si="143"/>
        <v>114</v>
      </c>
      <c r="Q973" t="str">
        <f t="shared" si="144"/>
        <v xml:space="preserve"> </v>
      </c>
    </row>
    <row r="974" spans="1:17" x14ac:dyDescent="0.25">
      <c r="A974">
        <v>0</v>
      </c>
      <c r="E974">
        <v>974</v>
      </c>
      <c r="G974" t="str">
        <f t="shared" si="140"/>
        <v>9</v>
      </c>
      <c r="H974" t="str">
        <f t="shared" si="141"/>
        <v>7</v>
      </c>
      <c r="I974" t="str">
        <f t="shared" si="142"/>
        <v>4</v>
      </c>
      <c r="K974" t="str">
        <f t="shared" si="136"/>
        <v>9</v>
      </c>
      <c r="L974" t="str">
        <f t="shared" si="137"/>
        <v>7</v>
      </c>
      <c r="M974" t="str">
        <f t="shared" si="138"/>
        <v>4</v>
      </c>
      <c r="O974" s="69">
        <f t="shared" si="139"/>
        <v>20</v>
      </c>
      <c r="P974">
        <f t="shared" si="143"/>
        <v>120</v>
      </c>
      <c r="Q974" t="str">
        <f t="shared" si="144"/>
        <v xml:space="preserve"> </v>
      </c>
    </row>
    <row r="975" spans="1:17" x14ac:dyDescent="0.25">
      <c r="A975">
        <v>0</v>
      </c>
      <c r="E975">
        <v>975</v>
      </c>
      <c r="G975" t="str">
        <f t="shared" si="140"/>
        <v>9</v>
      </c>
      <c r="H975" t="str">
        <f t="shared" si="141"/>
        <v>7</v>
      </c>
      <c r="I975" t="str">
        <f t="shared" si="142"/>
        <v>5</v>
      </c>
      <c r="K975" t="str">
        <f t="shared" si="136"/>
        <v>9</v>
      </c>
      <c r="L975" t="str">
        <f t="shared" si="137"/>
        <v>7</v>
      </c>
      <c r="M975" t="str">
        <f t="shared" si="138"/>
        <v>5</v>
      </c>
      <c r="O975" s="69">
        <f t="shared" si="139"/>
        <v>21</v>
      </c>
      <c r="P975">
        <f t="shared" si="143"/>
        <v>126</v>
      </c>
      <c r="Q975" t="str">
        <f t="shared" si="144"/>
        <v xml:space="preserve"> </v>
      </c>
    </row>
    <row r="976" spans="1:17" x14ac:dyDescent="0.25">
      <c r="A976">
        <v>0</v>
      </c>
      <c r="E976">
        <v>976</v>
      </c>
      <c r="G976" t="str">
        <f t="shared" si="140"/>
        <v>9</v>
      </c>
      <c r="H976" t="str">
        <f t="shared" si="141"/>
        <v>7</v>
      </c>
      <c r="I976" t="str">
        <f t="shared" si="142"/>
        <v>6</v>
      </c>
      <c r="K976" t="str">
        <f t="shared" si="136"/>
        <v>9</v>
      </c>
      <c r="L976" t="str">
        <f t="shared" si="137"/>
        <v>7</v>
      </c>
      <c r="M976" t="str">
        <f t="shared" si="138"/>
        <v>6</v>
      </c>
      <c r="O976" s="69">
        <f t="shared" si="139"/>
        <v>22</v>
      </c>
      <c r="P976">
        <f t="shared" si="143"/>
        <v>132</v>
      </c>
      <c r="Q976" t="str">
        <f t="shared" si="144"/>
        <v xml:space="preserve"> </v>
      </c>
    </row>
    <row r="977" spans="1:17" x14ac:dyDescent="0.25">
      <c r="A977">
        <v>0</v>
      </c>
      <c r="E977">
        <v>977</v>
      </c>
      <c r="G977" t="str">
        <f t="shared" si="140"/>
        <v>9</v>
      </c>
      <c r="H977" t="str">
        <f t="shared" si="141"/>
        <v>7</v>
      </c>
      <c r="I977" t="str">
        <f t="shared" si="142"/>
        <v>7</v>
      </c>
      <c r="K977" t="str">
        <f t="shared" si="136"/>
        <v>9</v>
      </c>
      <c r="L977" t="str">
        <f t="shared" si="137"/>
        <v>7</v>
      </c>
      <c r="M977" t="str">
        <f t="shared" si="138"/>
        <v>7</v>
      </c>
      <c r="O977" s="69">
        <f t="shared" si="139"/>
        <v>23</v>
      </c>
      <c r="P977">
        <f t="shared" si="143"/>
        <v>138</v>
      </c>
      <c r="Q977" t="str">
        <f t="shared" si="144"/>
        <v xml:space="preserve"> </v>
      </c>
    </row>
    <row r="978" spans="1:17" x14ac:dyDescent="0.25">
      <c r="A978">
        <v>0</v>
      </c>
      <c r="E978">
        <v>978</v>
      </c>
      <c r="G978" t="str">
        <f t="shared" si="140"/>
        <v>9</v>
      </c>
      <c r="H978" t="str">
        <f t="shared" si="141"/>
        <v>7</v>
      </c>
      <c r="I978" t="str">
        <f t="shared" si="142"/>
        <v>8</v>
      </c>
      <c r="K978" t="str">
        <f t="shared" ref="K978:K999" si="145">+G978</f>
        <v>9</v>
      </c>
      <c r="L978" t="str">
        <f t="shared" ref="L978:L999" si="146">+H978</f>
        <v>7</v>
      </c>
      <c r="M978" t="str">
        <f t="shared" ref="M978:M999" si="147">+I978</f>
        <v>8</v>
      </c>
      <c r="O978" s="69">
        <f t="shared" si="139"/>
        <v>24</v>
      </c>
      <c r="P978">
        <f t="shared" si="143"/>
        <v>144</v>
      </c>
      <c r="Q978" t="str">
        <f t="shared" si="144"/>
        <v xml:space="preserve"> </v>
      </c>
    </row>
    <row r="979" spans="1:17" x14ac:dyDescent="0.25">
      <c r="A979">
        <v>0</v>
      </c>
      <c r="E979">
        <v>979</v>
      </c>
      <c r="G979" t="str">
        <f t="shared" si="140"/>
        <v>9</v>
      </c>
      <c r="H979" t="str">
        <f t="shared" si="141"/>
        <v>7</v>
      </c>
      <c r="I979" t="str">
        <f t="shared" si="142"/>
        <v>9</v>
      </c>
      <c r="K979" t="str">
        <f t="shared" si="145"/>
        <v>9</v>
      </c>
      <c r="L979" t="str">
        <f t="shared" si="146"/>
        <v>7</v>
      </c>
      <c r="M979" t="str">
        <f t="shared" si="147"/>
        <v>9</v>
      </c>
      <c r="O979" s="69">
        <f t="shared" si="139"/>
        <v>25</v>
      </c>
      <c r="P979">
        <f t="shared" si="143"/>
        <v>150</v>
      </c>
      <c r="Q979" t="str">
        <f t="shared" si="144"/>
        <v xml:space="preserve"> </v>
      </c>
    </row>
    <row r="980" spans="1:17" x14ac:dyDescent="0.25">
      <c r="A980">
        <v>0</v>
      </c>
      <c r="E980">
        <v>980</v>
      </c>
      <c r="G980" t="str">
        <f t="shared" si="140"/>
        <v>9</v>
      </c>
      <c r="H980" t="str">
        <f t="shared" si="141"/>
        <v>8</v>
      </c>
      <c r="I980" t="str">
        <f t="shared" si="142"/>
        <v>0</v>
      </c>
      <c r="K980" t="str">
        <f t="shared" si="145"/>
        <v>9</v>
      </c>
      <c r="L980" t="str">
        <f t="shared" si="146"/>
        <v>8</v>
      </c>
      <c r="M980" t="str">
        <f t="shared" si="147"/>
        <v>0</v>
      </c>
      <c r="O980" s="69">
        <f t="shared" si="139"/>
        <v>17</v>
      </c>
      <c r="P980">
        <f t="shared" si="143"/>
        <v>102</v>
      </c>
      <c r="Q980" t="str">
        <f t="shared" si="144"/>
        <v xml:space="preserve"> </v>
      </c>
    </row>
    <row r="981" spans="1:17" x14ac:dyDescent="0.25">
      <c r="A981">
        <v>0</v>
      </c>
      <c r="E981">
        <v>981</v>
      </c>
      <c r="G981" t="str">
        <f t="shared" si="140"/>
        <v>9</v>
      </c>
      <c r="H981" t="str">
        <f t="shared" si="141"/>
        <v>8</v>
      </c>
      <c r="I981" t="str">
        <f t="shared" si="142"/>
        <v>1</v>
      </c>
      <c r="K981" t="str">
        <f t="shared" si="145"/>
        <v>9</v>
      </c>
      <c r="L981" t="str">
        <f t="shared" si="146"/>
        <v>8</v>
      </c>
      <c r="M981" t="str">
        <f t="shared" si="147"/>
        <v>1</v>
      </c>
      <c r="O981" s="69">
        <f t="shared" si="139"/>
        <v>18</v>
      </c>
      <c r="P981">
        <f t="shared" si="143"/>
        <v>108</v>
      </c>
      <c r="Q981" t="str">
        <f t="shared" si="144"/>
        <v xml:space="preserve"> </v>
      </c>
    </row>
    <row r="982" spans="1:17" x14ac:dyDescent="0.25">
      <c r="A982">
        <v>0</v>
      </c>
      <c r="E982">
        <v>982</v>
      </c>
      <c r="G982" t="str">
        <f t="shared" si="140"/>
        <v>9</v>
      </c>
      <c r="H982" t="str">
        <f t="shared" si="141"/>
        <v>8</v>
      </c>
      <c r="I982" t="str">
        <f t="shared" si="142"/>
        <v>2</v>
      </c>
      <c r="K982" t="str">
        <f t="shared" si="145"/>
        <v>9</v>
      </c>
      <c r="L982" t="str">
        <f t="shared" si="146"/>
        <v>8</v>
      </c>
      <c r="M982" t="str">
        <f t="shared" si="147"/>
        <v>2</v>
      </c>
      <c r="O982" s="69">
        <f t="shared" si="139"/>
        <v>19</v>
      </c>
      <c r="P982">
        <f t="shared" si="143"/>
        <v>114</v>
      </c>
      <c r="Q982" t="str">
        <f t="shared" si="144"/>
        <v xml:space="preserve"> </v>
      </c>
    </row>
    <row r="983" spans="1:17" x14ac:dyDescent="0.25">
      <c r="A983">
        <v>0</v>
      </c>
      <c r="E983">
        <v>983</v>
      </c>
      <c r="G983" t="str">
        <f t="shared" si="140"/>
        <v>9</v>
      </c>
      <c r="H983" t="str">
        <f t="shared" si="141"/>
        <v>8</v>
      </c>
      <c r="I983" t="str">
        <f t="shared" si="142"/>
        <v>3</v>
      </c>
      <c r="K983" t="str">
        <f t="shared" si="145"/>
        <v>9</v>
      </c>
      <c r="L983" t="str">
        <f t="shared" si="146"/>
        <v>8</v>
      </c>
      <c r="M983" t="str">
        <f t="shared" si="147"/>
        <v>3</v>
      </c>
      <c r="O983" s="69">
        <f t="shared" si="139"/>
        <v>20</v>
      </c>
      <c r="P983">
        <f t="shared" si="143"/>
        <v>120</v>
      </c>
      <c r="Q983" t="str">
        <f t="shared" si="144"/>
        <v xml:space="preserve"> </v>
      </c>
    </row>
    <row r="984" spans="1:17" x14ac:dyDescent="0.25">
      <c r="A984">
        <v>0</v>
      </c>
      <c r="E984">
        <v>984</v>
      </c>
      <c r="G984" t="str">
        <f t="shared" si="140"/>
        <v>9</v>
      </c>
      <c r="H984" t="str">
        <f t="shared" si="141"/>
        <v>8</v>
      </c>
      <c r="I984" t="str">
        <f t="shared" si="142"/>
        <v>4</v>
      </c>
      <c r="K984" t="str">
        <f t="shared" si="145"/>
        <v>9</v>
      </c>
      <c r="L984" t="str">
        <f t="shared" si="146"/>
        <v>8</v>
      </c>
      <c r="M984" t="str">
        <f t="shared" si="147"/>
        <v>4</v>
      </c>
      <c r="O984" s="69">
        <f t="shared" si="139"/>
        <v>21</v>
      </c>
      <c r="P984">
        <f t="shared" si="143"/>
        <v>126</v>
      </c>
      <c r="Q984" t="str">
        <f t="shared" si="144"/>
        <v xml:space="preserve"> </v>
      </c>
    </row>
    <row r="985" spans="1:17" x14ac:dyDescent="0.25">
      <c r="A985">
        <v>0</v>
      </c>
      <c r="E985">
        <v>985</v>
      </c>
      <c r="G985" t="str">
        <f t="shared" si="140"/>
        <v>9</v>
      </c>
      <c r="H985" t="str">
        <f t="shared" si="141"/>
        <v>8</v>
      </c>
      <c r="I985" t="str">
        <f t="shared" si="142"/>
        <v>5</v>
      </c>
      <c r="K985" t="str">
        <f t="shared" si="145"/>
        <v>9</v>
      </c>
      <c r="L985" t="str">
        <f t="shared" si="146"/>
        <v>8</v>
      </c>
      <c r="M985" t="str">
        <f t="shared" si="147"/>
        <v>5</v>
      </c>
      <c r="O985" s="69">
        <f t="shared" si="139"/>
        <v>22</v>
      </c>
      <c r="P985">
        <f t="shared" si="143"/>
        <v>132</v>
      </c>
      <c r="Q985" t="str">
        <f t="shared" si="144"/>
        <v xml:space="preserve"> </v>
      </c>
    </row>
    <row r="986" spans="1:17" x14ac:dyDescent="0.25">
      <c r="A986">
        <v>0</v>
      </c>
      <c r="E986">
        <v>986</v>
      </c>
      <c r="G986" t="str">
        <f t="shared" si="140"/>
        <v>9</v>
      </c>
      <c r="H986" t="str">
        <f t="shared" si="141"/>
        <v>8</v>
      </c>
      <c r="I986" t="str">
        <f t="shared" si="142"/>
        <v>6</v>
      </c>
      <c r="K986" t="str">
        <f t="shared" si="145"/>
        <v>9</v>
      </c>
      <c r="L986" t="str">
        <f t="shared" si="146"/>
        <v>8</v>
      </c>
      <c r="M986" t="str">
        <f t="shared" si="147"/>
        <v>6</v>
      </c>
      <c r="O986" s="69">
        <f t="shared" si="139"/>
        <v>23</v>
      </c>
      <c r="P986">
        <f t="shared" si="143"/>
        <v>138</v>
      </c>
      <c r="Q986" t="str">
        <f t="shared" si="144"/>
        <v xml:space="preserve"> </v>
      </c>
    </row>
    <row r="987" spans="1:17" x14ac:dyDescent="0.25">
      <c r="A987">
        <v>0</v>
      </c>
      <c r="E987">
        <v>987</v>
      </c>
      <c r="G987" t="str">
        <f t="shared" si="140"/>
        <v>9</v>
      </c>
      <c r="H987" t="str">
        <f t="shared" si="141"/>
        <v>8</v>
      </c>
      <c r="I987" t="str">
        <f t="shared" si="142"/>
        <v>7</v>
      </c>
      <c r="K987" t="str">
        <f t="shared" si="145"/>
        <v>9</v>
      </c>
      <c r="L987" t="str">
        <f t="shared" si="146"/>
        <v>8</v>
      </c>
      <c r="M987" t="str">
        <f t="shared" si="147"/>
        <v>7</v>
      </c>
      <c r="O987" s="69">
        <f t="shared" si="139"/>
        <v>24</v>
      </c>
      <c r="P987">
        <f t="shared" si="143"/>
        <v>144</v>
      </c>
      <c r="Q987" t="str">
        <f t="shared" si="144"/>
        <v xml:space="preserve"> </v>
      </c>
    </row>
    <row r="988" spans="1:17" x14ac:dyDescent="0.25">
      <c r="A988">
        <v>0</v>
      </c>
      <c r="E988">
        <v>988</v>
      </c>
      <c r="G988" t="str">
        <f t="shared" si="140"/>
        <v>9</v>
      </c>
      <c r="H988" t="str">
        <f t="shared" si="141"/>
        <v>8</v>
      </c>
      <c r="I988" t="str">
        <f t="shared" si="142"/>
        <v>8</v>
      </c>
      <c r="K988" t="str">
        <f t="shared" si="145"/>
        <v>9</v>
      </c>
      <c r="L988" t="str">
        <f t="shared" si="146"/>
        <v>8</v>
      </c>
      <c r="M988" t="str">
        <f t="shared" si="147"/>
        <v>8</v>
      </c>
      <c r="O988" s="69">
        <f t="shared" si="139"/>
        <v>25</v>
      </c>
      <c r="P988">
        <f t="shared" si="143"/>
        <v>150</v>
      </c>
      <c r="Q988" t="str">
        <f t="shared" si="144"/>
        <v xml:space="preserve"> </v>
      </c>
    </row>
    <row r="989" spans="1:17" x14ac:dyDescent="0.25">
      <c r="A989">
        <v>0</v>
      </c>
      <c r="E989">
        <v>989</v>
      </c>
      <c r="G989" t="str">
        <f t="shared" si="140"/>
        <v>9</v>
      </c>
      <c r="H989" t="str">
        <f t="shared" si="141"/>
        <v>8</v>
      </c>
      <c r="I989" t="str">
        <f t="shared" si="142"/>
        <v>9</v>
      </c>
      <c r="K989" t="str">
        <f t="shared" si="145"/>
        <v>9</v>
      </c>
      <c r="L989" t="str">
        <f t="shared" si="146"/>
        <v>8</v>
      </c>
      <c r="M989" t="str">
        <f t="shared" si="147"/>
        <v>9</v>
      </c>
      <c r="O989" s="69">
        <f t="shared" si="139"/>
        <v>26</v>
      </c>
      <c r="P989">
        <f t="shared" si="143"/>
        <v>156</v>
      </c>
      <c r="Q989" t="str">
        <f t="shared" si="144"/>
        <v xml:space="preserve"> </v>
      </c>
    </row>
    <row r="990" spans="1:17" x14ac:dyDescent="0.25">
      <c r="A990">
        <v>0</v>
      </c>
      <c r="E990">
        <v>990</v>
      </c>
      <c r="G990" t="str">
        <f t="shared" si="140"/>
        <v>9</v>
      </c>
      <c r="H990" t="str">
        <f t="shared" si="141"/>
        <v>9</v>
      </c>
      <c r="I990" t="str">
        <f t="shared" si="142"/>
        <v>0</v>
      </c>
      <c r="K990" t="str">
        <f t="shared" si="145"/>
        <v>9</v>
      </c>
      <c r="L990" t="str">
        <f t="shared" si="146"/>
        <v>9</v>
      </c>
      <c r="M990" t="str">
        <f t="shared" si="147"/>
        <v>0</v>
      </c>
      <c r="O990" s="69">
        <f t="shared" si="139"/>
        <v>18</v>
      </c>
      <c r="P990">
        <f t="shared" si="143"/>
        <v>108</v>
      </c>
      <c r="Q990" t="str">
        <f t="shared" si="144"/>
        <v xml:space="preserve"> </v>
      </c>
    </row>
    <row r="991" spans="1:17" x14ac:dyDescent="0.25">
      <c r="A991">
        <v>0</v>
      </c>
      <c r="E991">
        <v>991</v>
      </c>
      <c r="G991" t="str">
        <f t="shared" si="140"/>
        <v>9</v>
      </c>
      <c r="H991" t="str">
        <f t="shared" si="141"/>
        <v>9</v>
      </c>
      <c r="I991" t="str">
        <f t="shared" si="142"/>
        <v>1</v>
      </c>
      <c r="K991" t="str">
        <f t="shared" si="145"/>
        <v>9</v>
      </c>
      <c r="L991" t="str">
        <f t="shared" si="146"/>
        <v>9</v>
      </c>
      <c r="M991" t="str">
        <f t="shared" si="147"/>
        <v>1</v>
      </c>
      <c r="O991" s="69">
        <f t="shared" si="139"/>
        <v>19</v>
      </c>
      <c r="P991">
        <f t="shared" si="143"/>
        <v>114</v>
      </c>
      <c r="Q991" t="str">
        <f t="shared" si="144"/>
        <v xml:space="preserve"> </v>
      </c>
    </row>
    <row r="992" spans="1:17" x14ac:dyDescent="0.25">
      <c r="A992">
        <v>0</v>
      </c>
      <c r="E992">
        <v>992</v>
      </c>
      <c r="G992" t="str">
        <f t="shared" si="140"/>
        <v>9</v>
      </c>
      <c r="H992" t="str">
        <f t="shared" si="141"/>
        <v>9</v>
      </c>
      <c r="I992" t="str">
        <f t="shared" si="142"/>
        <v>2</v>
      </c>
      <c r="K992" t="str">
        <f t="shared" si="145"/>
        <v>9</v>
      </c>
      <c r="L992" t="str">
        <f t="shared" si="146"/>
        <v>9</v>
      </c>
      <c r="M992" t="str">
        <f t="shared" si="147"/>
        <v>2</v>
      </c>
      <c r="O992" s="69">
        <f t="shared" si="139"/>
        <v>20</v>
      </c>
      <c r="P992">
        <f t="shared" si="143"/>
        <v>120</v>
      </c>
      <c r="Q992" t="str">
        <f t="shared" si="144"/>
        <v xml:space="preserve"> </v>
      </c>
    </row>
    <row r="993" spans="1:17" x14ac:dyDescent="0.25">
      <c r="A993">
        <v>0</v>
      </c>
      <c r="E993">
        <v>993</v>
      </c>
      <c r="G993" t="str">
        <f t="shared" si="140"/>
        <v>9</v>
      </c>
      <c r="H993" t="str">
        <f t="shared" si="141"/>
        <v>9</v>
      </c>
      <c r="I993" t="str">
        <f t="shared" si="142"/>
        <v>3</v>
      </c>
      <c r="K993" t="str">
        <f t="shared" si="145"/>
        <v>9</v>
      </c>
      <c r="L993" t="str">
        <f t="shared" si="146"/>
        <v>9</v>
      </c>
      <c r="M993" t="str">
        <f t="shared" si="147"/>
        <v>3</v>
      </c>
      <c r="O993" s="69">
        <f t="shared" si="139"/>
        <v>21</v>
      </c>
      <c r="P993">
        <f t="shared" si="143"/>
        <v>126</v>
      </c>
      <c r="Q993" t="str">
        <f t="shared" si="144"/>
        <v xml:space="preserve"> </v>
      </c>
    </row>
    <row r="994" spans="1:17" x14ac:dyDescent="0.25">
      <c r="A994">
        <v>0</v>
      </c>
      <c r="E994">
        <v>994</v>
      </c>
      <c r="G994" t="str">
        <f t="shared" si="140"/>
        <v>9</v>
      </c>
      <c r="H994" t="str">
        <f t="shared" si="141"/>
        <v>9</v>
      </c>
      <c r="I994" t="str">
        <f t="shared" si="142"/>
        <v>4</v>
      </c>
      <c r="K994" t="str">
        <f t="shared" si="145"/>
        <v>9</v>
      </c>
      <c r="L994" t="str">
        <f t="shared" si="146"/>
        <v>9</v>
      </c>
      <c r="M994" t="str">
        <f t="shared" si="147"/>
        <v>4</v>
      </c>
      <c r="O994" s="69">
        <f t="shared" si="139"/>
        <v>22</v>
      </c>
      <c r="P994">
        <f t="shared" si="143"/>
        <v>132</v>
      </c>
      <c r="Q994" t="str">
        <f t="shared" si="144"/>
        <v xml:space="preserve"> </v>
      </c>
    </row>
    <row r="995" spans="1:17" x14ac:dyDescent="0.25">
      <c r="A995">
        <v>0</v>
      </c>
      <c r="E995">
        <v>995</v>
      </c>
      <c r="G995" t="str">
        <f t="shared" si="140"/>
        <v>9</v>
      </c>
      <c r="H995" t="str">
        <f t="shared" si="141"/>
        <v>9</v>
      </c>
      <c r="I995" t="str">
        <f t="shared" si="142"/>
        <v>5</v>
      </c>
      <c r="K995" t="str">
        <f t="shared" si="145"/>
        <v>9</v>
      </c>
      <c r="L995" t="str">
        <f t="shared" si="146"/>
        <v>9</v>
      </c>
      <c r="M995" t="str">
        <f t="shared" si="147"/>
        <v>5</v>
      </c>
      <c r="O995" s="69">
        <f t="shared" si="139"/>
        <v>23</v>
      </c>
      <c r="P995">
        <f t="shared" si="143"/>
        <v>138</v>
      </c>
      <c r="Q995" t="str">
        <f t="shared" si="144"/>
        <v xml:space="preserve"> </v>
      </c>
    </row>
    <row r="996" spans="1:17" x14ac:dyDescent="0.25">
      <c r="A996">
        <v>0</v>
      </c>
      <c r="E996">
        <v>996</v>
      </c>
      <c r="G996" t="str">
        <f t="shared" si="140"/>
        <v>9</v>
      </c>
      <c r="H996" t="str">
        <f t="shared" si="141"/>
        <v>9</v>
      </c>
      <c r="I996" t="str">
        <f t="shared" si="142"/>
        <v>6</v>
      </c>
      <c r="K996" t="str">
        <f t="shared" si="145"/>
        <v>9</v>
      </c>
      <c r="L996" t="str">
        <f t="shared" si="146"/>
        <v>9</v>
      </c>
      <c r="M996" t="str">
        <f t="shared" si="147"/>
        <v>6</v>
      </c>
      <c r="O996" s="69">
        <f t="shared" si="139"/>
        <v>24</v>
      </c>
      <c r="P996">
        <f t="shared" si="143"/>
        <v>144</v>
      </c>
      <c r="Q996" t="str">
        <f t="shared" si="144"/>
        <v xml:space="preserve"> </v>
      </c>
    </row>
    <row r="997" spans="1:17" x14ac:dyDescent="0.25">
      <c r="A997">
        <v>0</v>
      </c>
      <c r="E997">
        <v>997</v>
      </c>
      <c r="G997" t="str">
        <f t="shared" si="140"/>
        <v>9</v>
      </c>
      <c r="H997" t="str">
        <f t="shared" si="141"/>
        <v>9</v>
      </c>
      <c r="I997" t="str">
        <f t="shared" si="142"/>
        <v>7</v>
      </c>
      <c r="K997" t="str">
        <f t="shared" si="145"/>
        <v>9</v>
      </c>
      <c r="L997" t="str">
        <f t="shared" si="146"/>
        <v>9</v>
      </c>
      <c r="M997" t="str">
        <f t="shared" si="147"/>
        <v>7</v>
      </c>
      <c r="O997" s="69">
        <f t="shared" ref="O997:O999" si="148">+K997+L997+M997</f>
        <v>25</v>
      </c>
      <c r="P997">
        <f t="shared" si="143"/>
        <v>150</v>
      </c>
      <c r="Q997" t="str">
        <f t="shared" si="144"/>
        <v xml:space="preserve"> </v>
      </c>
    </row>
    <row r="998" spans="1:17" x14ac:dyDescent="0.25">
      <c r="A998">
        <v>0</v>
      </c>
      <c r="E998">
        <v>998</v>
      </c>
      <c r="G998" t="str">
        <f t="shared" si="140"/>
        <v>9</v>
      </c>
      <c r="H998" t="str">
        <f t="shared" si="141"/>
        <v>9</v>
      </c>
      <c r="I998" t="str">
        <f t="shared" si="142"/>
        <v>8</v>
      </c>
      <c r="K998" t="str">
        <f t="shared" si="145"/>
        <v>9</v>
      </c>
      <c r="L998" t="str">
        <f t="shared" si="146"/>
        <v>9</v>
      </c>
      <c r="M998" t="str">
        <f t="shared" si="147"/>
        <v>8</v>
      </c>
      <c r="O998" s="69">
        <f t="shared" si="148"/>
        <v>26</v>
      </c>
      <c r="P998">
        <f t="shared" si="143"/>
        <v>156</v>
      </c>
      <c r="Q998" t="str">
        <f t="shared" si="144"/>
        <v xml:space="preserve"> </v>
      </c>
    </row>
    <row r="999" spans="1:17" x14ac:dyDescent="0.25">
      <c r="A999">
        <v>0</v>
      </c>
      <c r="E999">
        <v>999</v>
      </c>
      <c r="G999" t="str">
        <f t="shared" si="140"/>
        <v>9</v>
      </c>
      <c r="H999" t="str">
        <f t="shared" si="141"/>
        <v>9</v>
      </c>
      <c r="I999" t="str">
        <f t="shared" si="142"/>
        <v>9</v>
      </c>
      <c r="K999" t="str">
        <f t="shared" si="145"/>
        <v>9</v>
      </c>
      <c r="L999" t="str">
        <f t="shared" si="146"/>
        <v>9</v>
      </c>
      <c r="M999" t="str">
        <f t="shared" si="147"/>
        <v>9</v>
      </c>
      <c r="O999" s="69">
        <f t="shared" si="148"/>
        <v>27</v>
      </c>
      <c r="P999">
        <f t="shared" si="143"/>
        <v>162</v>
      </c>
      <c r="Q999" t="str">
        <f t="shared" si="144"/>
        <v xml:space="preserve"> </v>
      </c>
    </row>
    <row r="1000" spans="1:17" x14ac:dyDescent="0.25">
      <c r="A1000">
        <v>0</v>
      </c>
    </row>
    <row r="1001" spans="1:17" x14ac:dyDescent="0.25">
      <c r="A1001">
        <v>0</v>
      </c>
    </row>
    <row r="1002" spans="1:17" x14ac:dyDescent="0.25">
      <c r="A1002">
        <v>0</v>
      </c>
    </row>
    <row r="1003" spans="1:17" x14ac:dyDescent="0.25">
      <c r="A1003">
        <v>0</v>
      </c>
    </row>
    <row r="1004" spans="1:17" x14ac:dyDescent="0.25">
      <c r="A1004">
        <v>0</v>
      </c>
    </row>
    <row r="1005" spans="1:17" x14ac:dyDescent="0.25">
      <c r="A1005">
        <v>0</v>
      </c>
    </row>
    <row r="1006" spans="1:17" x14ac:dyDescent="0.25">
      <c r="A1006">
        <v>0</v>
      </c>
    </row>
    <row r="1007" spans="1:17" x14ac:dyDescent="0.25">
      <c r="A1007">
        <v>0</v>
      </c>
    </row>
    <row r="1008" spans="1:17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0</v>
      </c>
    </row>
    <row r="1017" spans="1:1" x14ac:dyDescent="0.25">
      <c r="A1017">
        <v>0</v>
      </c>
    </row>
    <row r="1018" spans="1:1" x14ac:dyDescent="0.25">
      <c r="A1018">
        <v>0</v>
      </c>
    </row>
    <row r="1019" spans="1:1" x14ac:dyDescent="0.25">
      <c r="A1019">
        <v>0</v>
      </c>
    </row>
    <row r="1020" spans="1:1" x14ac:dyDescent="0.25">
      <c r="A1020">
        <v>0</v>
      </c>
    </row>
    <row r="1021" spans="1:1" x14ac:dyDescent="0.25">
      <c r="A1021">
        <v>0</v>
      </c>
    </row>
    <row r="1022" spans="1:1" x14ac:dyDescent="0.25">
      <c r="A1022">
        <v>0</v>
      </c>
    </row>
    <row r="1023" spans="1:1" x14ac:dyDescent="0.25">
      <c r="A1023">
        <v>0</v>
      </c>
    </row>
    <row r="1024" spans="1:1" x14ac:dyDescent="0.25">
      <c r="A1024">
        <v>0</v>
      </c>
    </row>
    <row r="1025" spans="1:1" x14ac:dyDescent="0.25">
      <c r="A1025">
        <v>0</v>
      </c>
    </row>
    <row r="1026" spans="1:1" x14ac:dyDescent="0.25">
      <c r="A1026">
        <v>0</v>
      </c>
    </row>
    <row r="1027" spans="1:1" x14ac:dyDescent="0.25">
      <c r="A1027">
        <v>0</v>
      </c>
    </row>
    <row r="1028" spans="1:1" x14ac:dyDescent="0.25">
      <c r="A1028">
        <v>0</v>
      </c>
    </row>
    <row r="1029" spans="1:1" x14ac:dyDescent="0.25">
      <c r="A1029">
        <v>0</v>
      </c>
    </row>
    <row r="1030" spans="1:1" x14ac:dyDescent="0.25">
      <c r="A1030">
        <v>0</v>
      </c>
    </row>
    <row r="1031" spans="1:1" x14ac:dyDescent="0.25">
      <c r="A1031">
        <v>0</v>
      </c>
    </row>
    <row r="1032" spans="1:1" x14ac:dyDescent="0.25">
      <c r="A1032">
        <v>0</v>
      </c>
    </row>
    <row r="1033" spans="1:1" x14ac:dyDescent="0.25">
      <c r="A1033">
        <v>0</v>
      </c>
    </row>
    <row r="1034" spans="1:1" x14ac:dyDescent="0.25">
      <c r="A1034">
        <v>0</v>
      </c>
    </row>
    <row r="1035" spans="1:1" x14ac:dyDescent="0.25">
      <c r="A1035">
        <v>0</v>
      </c>
    </row>
    <row r="1036" spans="1:1" x14ac:dyDescent="0.25">
      <c r="A1036">
        <v>0</v>
      </c>
    </row>
    <row r="1037" spans="1:1" x14ac:dyDescent="0.25">
      <c r="A1037">
        <v>0</v>
      </c>
    </row>
    <row r="1038" spans="1:1" x14ac:dyDescent="0.25">
      <c r="A1038">
        <v>0</v>
      </c>
    </row>
    <row r="1039" spans="1:1" x14ac:dyDescent="0.25">
      <c r="A1039">
        <v>0</v>
      </c>
    </row>
    <row r="1040" spans="1:1" x14ac:dyDescent="0.25">
      <c r="A1040">
        <v>0</v>
      </c>
    </row>
    <row r="1041" spans="1:1" x14ac:dyDescent="0.25">
      <c r="A1041">
        <v>0</v>
      </c>
    </row>
    <row r="1042" spans="1:1" x14ac:dyDescent="0.25">
      <c r="A1042">
        <v>0</v>
      </c>
    </row>
    <row r="1043" spans="1:1" x14ac:dyDescent="0.25">
      <c r="A1043">
        <v>0</v>
      </c>
    </row>
    <row r="1044" spans="1:1" x14ac:dyDescent="0.25">
      <c r="A1044">
        <v>0</v>
      </c>
    </row>
    <row r="1045" spans="1:1" x14ac:dyDescent="0.25">
      <c r="A1045">
        <v>0</v>
      </c>
    </row>
    <row r="1046" spans="1:1" x14ac:dyDescent="0.25">
      <c r="A1046">
        <v>0</v>
      </c>
    </row>
    <row r="1047" spans="1:1" x14ac:dyDescent="0.25">
      <c r="A1047">
        <v>0</v>
      </c>
    </row>
    <row r="1048" spans="1:1" x14ac:dyDescent="0.25">
      <c r="A1048">
        <v>0</v>
      </c>
    </row>
    <row r="1049" spans="1:1" x14ac:dyDescent="0.25">
      <c r="A1049">
        <v>0</v>
      </c>
    </row>
    <row r="1050" spans="1:1" x14ac:dyDescent="0.25">
      <c r="A1050">
        <v>0</v>
      </c>
    </row>
    <row r="1051" spans="1:1" x14ac:dyDescent="0.25">
      <c r="A1051">
        <v>0</v>
      </c>
    </row>
    <row r="1052" spans="1:1" x14ac:dyDescent="0.25">
      <c r="A1052">
        <v>0</v>
      </c>
    </row>
    <row r="1053" spans="1:1" x14ac:dyDescent="0.25">
      <c r="A1053">
        <v>0</v>
      </c>
    </row>
    <row r="1054" spans="1:1" x14ac:dyDescent="0.25">
      <c r="A1054">
        <v>0</v>
      </c>
    </row>
    <row r="1055" spans="1:1" x14ac:dyDescent="0.25">
      <c r="A1055">
        <v>0</v>
      </c>
    </row>
    <row r="1056" spans="1:1" x14ac:dyDescent="0.25">
      <c r="A1056">
        <v>0</v>
      </c>
    </row>
    <row r="1057" spans="1:1" x14ac:dyDescent="0.25">
      <c r="A1057">
        <v>0</v>
      </c>
    </row>
    <row r="1058" spans="1:1" x14ac:dyDescent="0.25">
      <c r="A1058">
        <v>0</v>
      </c>
    </row>
    <row r="1059" spans="1:1" x14ac:dyDescent="0.25">
      <c r="A1059">
        <v>0</v>
      </c>
    </row>
    <row r="1060" spans="1:1" x14ac:dyDescent="0.25">
      <c r="A1060">
        <v>0</v>
      </c>
    </row>
    <row r="1061" spans="1:1" x14ac:dyDescent="0.25">
      <c r="A1061">
        <v>0</v>
      </c>
    </row>
    <row r="1062" spans="1:1" x14ac:dyDescent="0.25">
      <c r="A1062">
        <v>0</v>
      </c>
    </row>
    <row r="1063" spans="1:1" x14ac:dyDescent="0.25">
      <c r="A1063">
        <v>0</v>
      </c>
    </row>
    <row r="1064" spans="1:1" x14ac:dyDescent="0.25">
      <c r="A1064">
        <v>0</v>
      </c>
    </row>
    <row r="1065" spans="1:1" x14ac:dyDescent="0.25">
      <c r="A1065">
        <v>0</v>
      </c>
    </row>
    <row r="1066" spans="1:1" x14ac:dyDescent="0.25">
      <c r="A1066">
        <v>0</v>
      </c>
    </row>
    <row r="1067" spans="1:1" x14ac:dyDescent="0.25">
      <c r="A1067">
        <v>0</v>
      </c>
    </row>
    <row r="1068" spans="1:1" x14ac:dyDescent="0.25">
      <c r="A1068">
        <v>0</v>
      </c>
    </row>
    <row r="1069" spans="1:1" x14ac:dyDescent="0.25">
      <c r="A1069">
        <v>0</v>
      </c>
    </row>
    <row r="1070" spans="1:1" x14ac:dyDescent="0.25">
      <c r="A1070">
        <v>0</v>
      </c>
    </row>
    <row r="1071" spans="1:1" x14ac:dyDescent="0.25">
      <c r="A1071">
        <v>0</v>
      </c>
    </row>
    <row r="1072" spans="1:1" x14ac:dyDescent="0.25">
      <c r="A1072">
        <v>0</v>
      </c>
    </row>
    <row r="1073" spans="1:1" x14ac:dyDescent="0.25">
      <c r="A1073">
        <v>0</v>
      </c>
    </row>
    <row r="1074" spans="1:1" x14ac:dyDescent="0.25">
      <c r="A1074">
        <v>0</v>
      </c>
    </row>
    <row r="1075" spans="1:1" x14ac:dyDescent="0.25">
      <c r="A1075">
        <v>0</v>
      </c>
    </row>
    <row r="1076" spans="1:1" x14ac:dyDescent="0.25">
      <c r="A1076">
        <v>0</v>
      </c>
    </row>
    <row r="1077" spans="1:1" x14ac:dyDescent="0.25">
      <c r="A1077">
        <v>0</v>
      </c>
    </row>
    <row r="1078" spans="1:1" x14ac:dyDescent="0.25">
      <c r="A1078">
        <v>0</v>
      </c>
    </row>
    <row r="1079" spans="1:1" x14ac:dyDescent="0.25">
      <c r="A1079">
        <v>0</v>
      </c>
    </row>
    <row r="1080" spans="1:1" x14ac:dyDescent="0.25">
      <c r="A1080">
        <v>0</v>
      </c>
    </row>
    <row r="1081" spans="1:1" x14ac:dyDescent="0.25">
      <c r="A1081">
        <v>0</v>
      </c>
    </row>
    <row r="1082" spans="1:1" x14ac:dyDescent="0.25">
      <c r="A1082">
        <v>0</v>
      </c>
    </row>
    <row r="1083" spans="1:1" x14ac:dyDescent="0.25">
      <c r="A1083">
        <v>0</v>
      </c>
    </row>
    <row r="1084" spans="1:1" x14ac:dyDescent="0.25">
      <c r="A1084">
        <v>0</v>
      </c>
    </row>
    <row r="1085" spans="1:1" x14ac:dyDescent="0.25">
      <c r="A1085">
        <v>0</v>
      </c>
    </row>
    <row r="1086" spans="1:1" x14ac:dyDescent="0.25">
      <c r="A1086">
        <v>0</v>
      </c>
    </row>
    <row r="1087" spans="1:1" x14ac:dyDescent="0.25">
      <c r="A1087">
        <v>0</v>
      </c>
    </row>
    <row r="1088" spans="1:1" x14ac:dyDescent="0.25">
      <c r="A1088">
        <v>0</v>
      </c>
    </row>
    <row r="1089" spans="1:1" x14ac:dyDescent="0.25">
      <c r="A1089">
        <v>0</v>
      </c>
    </row>
    <row r="1090" spans="1:1" x14ac:dyDescent="0.25">
      <c r="A1090">
        <v>0</v>
      </c>
    </row>
    <row r="1091" spans="1:1" x14ac:dyDescent="0.25">
      <c r="A1091">
        <v>0</v>
      </c>
    </row>
    <row r="1092" spans="1:1" x14ac:dyDescent="0.25">
      <c r="A1092">
        <v>0</v>
      </c>
    </row>
    <row r="1093" spans="1:1" x14ac:dyDescent="0.25">
      <c r="A1093">
        <v>0</v>
      </c>
    </row>
    <row r="1094" spans="1:1" x14ac:dyDescent="0.25">
      <c r="A1094">
        <v>0</v>
      </c>
    </row>
    <row r="1095" spans="1:1" x14ac:dyDescent="0.25">
      <c r="A1095">
        <v>0</v>
      </c>
    </row>
    <row r="1096" spans="1:1" x14ac:dyDescent="0.25">
      <c r="A1096">
        <v>0</v>
      </c>
    </row>
    <row r="1097" spans="1:1" x14ac:dyDescent="0.25">
      <c r="A1097">
        <v>0</v>
      </c>
    </row>
    <row r="1098" spans="1:1" x14ac:dyDescent="0.25">
      <c r="A1098">
        <v>0</v>
      </c>
    </row>
    <row r="1099" spans="1:1" x14ac:dyDescent="0.25">
      <c r="A1099">
        <v>0</v>
      </c>
    </row>
    <row r="1100" spans="1:1" x14ac:dyDescent="0.25">
      <c r="A1100">
        <v>0</v>
      </c>
    </row>
    <row r="1101" spans="1:1" x14ac:dyDescent="0.25">
      <c r="A1101">
        <v>0</v>
      </c>
    </row>
    <row r="1102" spans="1:1" x14ac:dyDescent="0.25">
      <c r="A1102">
        <v>0</v>
      </c>
    </row>
    <row r="1103" spans="1:1" x14ac:dyDescent="0.25">
      <c r="A1103">
        <v>0</v>
      </c>
    </row>
    <row r="1104" spans="1:1" x14ac:dyDescent="0.25">
      <c r="A1104">
        <v>0</v>
      </c>
    </row>
    <row r="1105" spans="1:1" x14ac:dyDescent="0.25">
      <c r="A1105">
        <v>0</v>
      </c>
    </row>
    <row r="1106" spans="1:1" x14ac:dyDescent="0.25">
      <c r="A1106">
        <v>0</v>
      </c>
    </row>
    <row r="1107" spans="1:1" x14ac:dyDescent="0.25">
      <c r="A1107">
        <v>0</v>
      </c>
    </row>
    <row r="1108" spans="1:1" x14ac:dyDescent="0.25">
      <c r="A1108">
        <v>0</v>
      </c>
    </row>
    <row r="1109" spans="1:1" x14ac:dyDescent="0.25">
      <c r="A1109">
        <v>0</v>
      </c>
    </row>
    <row r="1110" spans="1:1" x14ac:dyDescent="0.25">
      <c r="A1110">
        <v>0</v>
      </c>
    </row>
    <row r="1111" spans="1:1" x14ac:dyDescent="0.25">
      <c r="A1111">
        <v>0</v>
      </c>
    </row>
    <row r="1112" spans="1:1" x14ac:dyDescent="0.25">
      <c r="A1112">
        <v>0</v>
      </c>
    </row>
    <row r="1113" spans="1:1" x14ac:dyDescent="0.25">
      <c r="A1113">
        <v>0</v>
      </c>
    </row>
    <row r="1114" spans="1:1" x14ac:dyDescent="0.25">
      <c r="A1114">
        <v>0</v>
      </c>
    </row>
    <row r="1115" spans="1:1" x14ac:dyDescent="0.25">
      <c r="A1115">
        <v>0</v>
      </c>
    </row>
    <row r="1116" spans="1:1" x14ac:dyDescent="0.25">
      <c r="A1116">
        <v>0</v>
      </c>
    </row>
    <row r="1117" spans="1:1" x14ac:dyDescent="0.25">
      <c r="A1117">
        <v>0</v>
      </c>
    </row>
    <row r="1118" spans="1:1" x14ac:dyDescent="0.25">
      <c r="A1118">
        <v>0</v>
      </c>
    </row>
    <row r="1119" spans="1:1" x14ac:dyDescent="0.25">
      <c r="A1119">
        <v>0</v>
      </c>
    </row>
    <row r="1120" spans="1:1" x14ac:dyDescent="0.25">
      <c r="A1120">
        <v>0</v>
      </c>
    </row>
    <row r="1121" spans="1:1" x14ac:dyDescent="0.25">
      <c r="A1121">
        <v>0</v>
      </c>
    </row>
    <row r="1122" spans="1:1" x14ac:dyDescent="0.25">
      <c r="A1122">
        <v>0</v>
      </c>
    </row>
    <row r="1123" spans="1:1" x14ac:dyDescent="0.25">
      <c r="A1123">
        <v>0</v>
      </c>
    </row>
    <row r="1124" spans="1:1" x14ac:dyDescent="0.25">
      <c r="A1124">
        <v>0</v>
      </c>
    </row>
    <row r="1125" spans="1:1" x14ac:dyDescent="0.25">
      <c r="A1125">
        <v>0</v>
      </c>
    </row>
    <row r="1126" spans="1:1" x14ac:dyDescent="0.25">
      <c r="A1126">
        <v>0</v>
      </c>
    </row>
    <row r="1127" spans="1:1" x14ac:dyDescent="0.25">
      <c r="A1127">
        <v>0</v>
      </c>
    </row>
    <row r="1128" spans="1:1" x14ac:dyDescent="0.25">
      <c r="A1128">
        <v>0</v>
      </c>
    </row>
    <row r="1129" spans="1:1" x14ac:dyDescent="0.25">
      <c r="A1129">
        <v>0</v>
      </c>
    </row>
    <row r="1130" spans="1:1" x14ac:dyDescent="0.25">
      <c r="A1130">
        <v>0</v>
      </c>
    </row>
    <row r="1131" spans="1:1" x14ac:dyDescent="0.25">
      <c r="A1131">
        <v>0</v>
      </c>
    </row>
    <row r="1132" spans="1:1" x14ac:dyDescent="0.25">
      <c r="A1132">
        <v>0</v>
      </c>
    </row>
    <row r="1133" spans="1:1" x14ac:dyDescent="0.25">
      <c r="A1133">
        <v>0</v>
      </c>
    </row>
    <row r="1134" spans="1:1" x14ac:dyDescent="0.25">
      <c r="A1134">
        <v>0</v>
      </c>
    </row>
    <row r="1135" spans="1:1" x14ac:dyDescent="0.25">
      <c r="A1135">
        <v>0</v>
      </c>
    </row>
    <row r="1136" spans="1:1" x14ac:dyDescent="0.25">
      <c r="A1136">
        <v>0</v>
      </c>
    </row>
    <row r="1137" spans="1:1" x14ac:dyDescent="0.25">
      <c r="A1137">
        <v>0</v>
      </c>
    </row>
    <row r="1138" spans="1:1" x14ac:dyDescent="0.25">
      <c r="A1138">
        <v>0</v>
      </c>
    </row>
    <row r="1139" spans="1:1" x14ac:dyDescent="0.25">
      <c r="A1139">
        <v>0</v>
      </c>
    </row>
    <row r="1140" spans="1:1" x14ac:dyDescent="0.25">
      <c r="A1140">
        <v>0</v>
      </c>
    </row>
    <row r="1141" spans="1:1" x14ac:dyDescent="0.25">
      <c r="A1141">
        <v>0</v>
      </c>
    </row>
    <row r="1142" spans="1:1" x14ac:dyDescent="0.25">
      <c r="A1142">
        <v>0</v>
      </c>
    </row>
    <row r="1143" spans="1:1" x14ac:dyDescent="0.25">
      <c r="A1143">
        <v>0</v>
      </c>
    </row>
    <row r="1144" spans="1:1" x14ac:dyDescent="0.25">
      <c r="A1144">
        <v>0</v>
      </c>
    </row>
    <row r="1145" spans="1:1" x14ac:dyDescent="0.25">
      <c r="A1145">
        <v>0</v>
      </c>
    </row>
    <row r="1146" spans="1:1" x14ac:dyDescent="0.25">
      <c r="A1146">
        <v>0</v>
      </c>
    </row>
    <row r="1147" spans="1:1" x14ac:dyDescent="0.25">
      <c r="A1147">
        <v>0</v>
      </c>
    </row>
    <row r="1148" spans="1:1" x14ac:dyDescent="0.25">
      <c r="A1148">
        <v>0</v>
      </c>
    </row>
    <row r="1149" spans="1:1" x14ac:dyDescent="0.25">
      <c r="A1149">
        <v>0</v>
      </c>
    </row>
    <row r="1150" spans="1:1" x14ac:dyDescent="0.25">
      <c r="A1150">
        <v>0</v>
      </c>
    </row>
    <row r="1151" spans="1:1" x14ac:dyDescent="0.25">
      <c r="A1151">
        <v>0</v>
      </c>
    </row>
    <row r="1152" spans="1:1" x14ac:dyDescent="0.25">
      <c r="A1152">
        <v>0</v>
      </c>
    </row>
    <row r="1153" spans="1:1" x14ac:dyDescent="0.25">
      <c r="A1153">
        <v>0</v>
      </c>
    </row>
    <row r="1154" spans="1:1" x14ac:dyDescent="0.25">
      <c r="A1154">
        <v>0</v>
      </c>
    </row>
    <row r="1155" spans="1:1" x14ac:dyDescent="0.25">
      <c r="A1155">
        <v>0</v>
      </c>
    </row>
    <row r="1156" spans="1:1" x14ac:dyDescent="0.25">
      <c r="A1156">
        <v>0</v>
      </c>
    </row>
    <row r="1157" spans="1:1" x14ac:dyDescent="0.25">
      <c r="A1157">
        <v>0</v>
      </c>
    </row>
    <row r="1158" spans="1:1" x14ac:dyDescent="0.25">
      <c r="A1158">
        <v>0</v>
      </c>
    </row>
    <row r="1159" spans="1:1" x14ac:dyDescent="0.25">
      <c r="A1159">
        <v>0</v>
      </c>
    </row>
    <row r="1160" spans="1:1" x14ac:dyDescent="0.25">
      <c r="A1160">
        <v>0</v>
      </c>
    </row>
    <row r="1161" spans="1:1" x14ac:dyDescent="0.25">
      <c r="A1161">
        <v>0</v>
      </c>
    </row>
    <row r="1162" spans="1:1" x14ac:dyDescent="0.25">
      <c r="A1162">
        <v>0</v>
      </c>
    </row>
    <row r="1163" spans="1:1" x14ac:dyDescent="0.25">
      <c r="A1163">
        <v>0</v>
      </c>
    </row>
    <row r="1164" spans="1:1" x14ac:dyDescent="0.25">
      <c r="A1164">
        <v>0</v>
      </c>
    </row>
    <row r="1165" spans="1:1" x14ac:dyDescent="0.25">
      <c r="A1165">
        <v>0</v>
      </c>
    </row>
    <row r="1166" spans="1:1" x14ac:dyDescent="0.25">
      <c r="A1166">
        <v>0</v>
      </c>
    </row>
    <row r="1167" spans="1:1" x14ac:dyDescent="0.25">
      <c r="A1167">
        <v>0</v>
      </c>
    </row>
    <row r="1168" spans="1:1" x14ac:dyDescent="0.25">
      <c r="A1168">
        <v>0</v>
      </c>
    </row>
    <row r="1169" spans="1:1" x14ac:dyDescent="0.25">
      <c r="A1169">
        <v>0</v>
      </c>
    </row>
    <row r="1170" spans="1:1" x14ac:dyDescent="0.25">
      <c r="A1170">
        <v>0</v>
      </c>
    </row>
    <row r="1171" spans="1:1" x14ac:dyDescent="0.25">
      <c r="A1171">
        <v>0</v>
      </c>
    </row>
    <row r="1172" spans="1:1" x14ac:dyDescent="0.25">
      <c r="A1172">
        <v>0</v>
      </c>
    </row>
    <row r="1173" spans="1:1" x14ac:dyDescent="0.25">
      <c r="A1173">
        <v>0</v>
      </c>
    </row>
    <row r="1174" spans="1:1" x14ac:dyDescent="0.25">
      <c r="A1174">
        <v>0</v>
      </c>
    </row>
    <row r="1175" spans="1:1" x14ac:dyDescent="0.25">
      <c r="A1175">
        <v>0</v>
      </c>
    </row>
    <row r="1176" spans="1:1" x14ac:dyDescent="0.25">
      <c r="A1176">
        <v>0</v>
      </c>
    </row>
    <row r="1177" spans="1:1" x14ac:dyDescent="0.25">
      <c r="A1177">
        <v>0</v>
      </c>
    </row>
    <row r="1178" spans="1:1" x14ac:dyDescent="0.25">
      <c r="A1178">
        <v>0</v>
      </c>
    </row>
    <row r="1179" spans="1:1" x14ac:dyDescent="0.25">
      <c r="A1179">
        <v>0</v>
      </c>
    </row>
    <row r="1180" spans="1:1" x14ac:dyDescent="0.25">
      <c r="A1180">
        <v>0</v>
      </c>
    </row>
    <row r="1181" spans="1:1" x14ac:dyDescent="0.25">
      <c r="A1181">
        <v>0</v>
      </c>
    </row>
    <row r="1182" spans="1:1" x14ac:dyDescent="0.25">
      <c r="A1182">
        <v>0</v>
      </c>
    </row>
    <row r="1183" spans="1:1" x14ac:dyDescent="0.25">
      <c r="A1183">
        <v>0</v>
      </c>
    </row>
    <row r="1184" spans="1:1" x14ac:dyDescent="0.25">
      <c r="A1184">
        <v>0</v>
      </c>
    </row>
    <row r="1185" spans="1:1" x14ac:dyDescent="0.25">
      <c r="A1185">
        <v>0</v>
      </c>
    </row>
    <row r="1186" spans="1:1" x14ac:dyDescent="0.25">
      <c r="A1186">
        <v>0</v>
      </c>
    </row>
    <row r="1187" spans="1:1" x14ac:dyDescent="0.25">
      <c r="A1187">
        <v>0</v>
      </c>
    </row>
    <row r="1188" spans="1:1" x14ac:dyDescent="0.25">
      <c r="A1188">
        <v>0</v>
      </c>
    </row>
    <row r="1189" spans="1:1" x14ac:dyDescent="0.25">
      <c r="A1189">
        <v>0</v>
      </c>
    </row>
    <row r="1190" spans="1:1" x14ac:dyDescent="0.25">
      <c r="A1190">
        <v>0</v>
      </c>
    </row>
    <row r="1191" spans="1:1" x14ac:dyDescent="0.25">
      <c r="A1191">
        <v>0</v>
      </c>
    </row>
    <row r="1192" spans="1:1" x14ac:dyDescent="0.25">
      <c r="A1192">
        <v>0</v>
      </c>
    </row>
    <row r="1193" spans="1:1" x14ac:dyDescent="0.25">
      <c r="A1193">
        <v>0</v>
      </c>
    </row>
    <row r="1194" spans="1:1" x14ac:dyDescent="0.25">
      <c r="A1194">
        <v>0</v>
      </c>
    </row>
    <row r="1195" spans="1:1" x14ac:dyDescent="0.25">
      <c r="A1195">
        <v>0</v>
      </c>
    </row>
    <row r="1196" spans="1:1" x14ac:dyDescent="0.25">
      <c r="A1196">
        <v>0</v>
      </c>
    </row>
    <row r="1197" spans="1:1" x14ac:dyDescent="0.25">
      <c r="A1197">
        <v>0</v>
      </c>
    </row>
    <row r="1198" spans="1:1" x14ac:dyDescent="0.25">
      <c r="A1198">
        <v>0</v>
      </c>
    </row>
    <row r="1199" spans="1:1" x14ac:dyDescent="0.25">
      <c r="A1199">
        <v>0</v>
      </c>
    </row>
    <row r="1200" spans="1:1" x14ac:dyDescent="0.25">
      <c r="A1200">
        <v>0</v>
      </c>
    </row>
    <row r="1201" spans="1:1" x14ac:dyDescent="0.25">
      <c r="A1201">
        <v>0</v>
      </c>
    </row>
    <row r="1202" spans="1:1" x14ac:dyDescent="0.25">
      <c r="A1202">
        <v>0</v>
      </c>
    </row>
    <row r="1203" spans="1:1" x14ac:dyDescent="0.25">
      <c r="A1203">
        <v>0</v>
      </c>
    </row>
    <row r="1204" spans="1:1" x14ac:dyDescent="0.25">
      <c r="A1204">
        <v>0</v>
      </c>
    </row>
    <row r="1205" spans="1:1" x14ac:dyDescent="0.25">
      <c r="A1205">
        <v>0</v>
      </c>
    </row>
    <row r="1206" spans="1:1" x14ac:dyDescent="0.25">
      <c r="A1206">
        <v>0</v>
      </c>
    </row>
    <row r="1207" spans="1:1" x14ac:dyDescent="0.25">
      <c r="A1207">
        <v>0</v>
      </c>
    </row>
    <row r="1208" spans="1:1" x14ac:dyDescent="0.25">
      <c r="A1208">
        <v>0</v>
      </c>
    </row>
    <row r="1209" spans="1:1" x14ac:dyDescent="0.25">
      <c r="A1209">
        <v>0</v>
      </c>
    </row>
    <row r="1210" spans="1:1" x14ac:dyDescent="0.25">
      <c r="A1210">
        <v>0</v>
      </c>
    </row>
    <row r="1211" spans="1:1" x14ac:dyDescent="0.25">
      <c r="A1211">
        <v>0</v>
      </c>
    </row>
    <row r="1212" spans="1:1" x14ac:dyDescent="0.25">
      <c r="A1212">
        <v>0</v>
      </c>
    </row>
    <row r="1213" spans="1:1" x14ac:dyDescent="0.25">
      <c r="A1213">
        <v>0</v>
      </c>
    </row>
    <row r="1214" spans="1:1" x14ac:dyDescent="0.25">
      <c r="A1214">
        <v>0</v>
      </c>
    </row>
    <row r="1215" spans="1:1" x14ac:dyDescent="0.25">
      <c r="A1215">
        <v>0</v>
      </c>
    </row>
    <row r="1216" spans="1:1" x14ac:dyDescent="0.25">
      <c r="A1216">
        <v>0</v>
      </c>
    </row>
    <row r="1217" spans="1:1" x14ac:dyDescent="0.25">
      <c r="A1217">
        <v>0</v>
      </c>
    </row>
    <row r="1218" spans="1:1" x14ac:dyDescent="0.25">
      <c r="A1218">
        <v>0</v>
      </c>
    </row>
    <row r="1219" spans="1:1" x14ac:dyDescent="0.25">
      <c r="A1219">
        <v>0</v>
      </c>
    </row>
    <row r="1220" spans="1:1" x14ac:dyDescent="0.25">
      <c r="A1220">
        <v>0</v>
      </c>
    </row>
    <row r="1221" spans="1:1" x14ac:dyDescent="0.25">
      <c r="A1221">
        <v>0</v>
      </c>
    </row>
    <row r="1222" spans="1:1" x14ac:dyDescent="0.25">
      <c r="A1222">
        <v>0</v>
      </c>
    </row>
    <row r="1223" spans="1:1" x14ac:dyDescent="0.25">
      <c r="A1223">
        <v>0</v>
      </c>
    </row>
    <row r="1224" spans="1:1" x14ac:dyDescent="0.25">
      <c r="A1224">
        <v>0</v>
      </c>
    </row>
    <row r="1225" spans="1:1" x14ac:dyDescent="0.25">
      <c r="A1225">
        <v>0</v>
      </c>
    </row>
    <row r="1226" spans="1:1" x14ac:dyDescent="0.25">
      <c r="A1226">
        <v>0</v>
      </c>
    </row>
    <row r="1227" spans="1:1" x14ac:dyDescent="0.25">
      <c r="A1227">
        <v>0</v>
      </c>
    </row>
    <row r="1228" spans="1:1" x14ac:dyDescent="0.25">
      <c r="A1228">
        <v>0</v>
      </c>
    </row>
    <row r="1229" spans="1:1" x14ac:dyDescent="0.25">
      <c r="A1229">
        <v>0</v>
      </c>
    </row>
    <row r="1230" spans="1:1" x14ac:dyDescent="0.25">
      <c r="A1230">
        <v>0</v>
      </c>
    </row>
    <row r="1231" spans="1:1" x14ac:dyDescent="0.25">
      <c r="A1231">
        <v>0</v>
      </c>
    </row>
    <row r="1232" spans="1:1" x14ac:dyDescent="0.25">
      <c r="A1232">
        <v>0</v>
      </c>
    </row>
    <row r="1233" spans="1:1" x14ac:dyDescent="0.25">
      <c r="A1233">
        <v>0</v>
      </c>
    </row>
    <row r="1234" spans="1:1" x14ac:dyDescent="0.25">
      <c r="A1234">
        <v>0</v>
      </c>
    </row>
    <row r="1235" spans="1:1" x14ac:dyDescent="0.25">
      <c r="A1235">
        <v>0</v>
      </c>
    </row>
    <row r="1236" spans="1:1" x14ac:dyDescent="0.25">
      <c r="A1236">
        <v>0</v>
      </c>
    </row>
    <row r="1237" spans="1:1" x14ac:dyDescent="0.25">
      <c r="A1237">
        <v>0</v>
      </c>
    </row>
    <row r="1238" spans="1:1" x14ac:dyDescent="0.25">
      <c r="A1238">
        <v>0</v>
      </c>
    </row>
    <row r="1239" spans="1:1" x14ac:dyDescent="0.25">
      <c r="A1239">
        <v>0</v>
      </c>
    </row>
    <row r="1240" spans="1:1" x14ac:dyDescent="0.25">
      <c r="A1240">
        <v>0</v>
      </c>
    </row>
    <row r="1241" spans="1:1" x14ac:dyDescent="0.25">
      <c r="A1241">
        <v>0</v>
      </c>
    </row>
    <row r="1242" spans="1:1" x14ac:dyDescent="0.25">
      <c r="A1242">
        <v>0</v>
      </c>
    </row>
    <row r="1243" spans="1:1" x14ac:dyDescent="0.25">
      <c r="A1243">
        <v>0</v>
      </c>
    </row>
    <row r="1244" spans="1:1" x14ac:dyDescent="0.25">
      <c r="A1244">
        <v>0</v>
      </c>
    </row>
    <row r="1245" spans="1:1" x14ac:dyDescent="0.25">
      <c r="A1245">
        <v>0</v>
      </c>
    </row>
    <row r="1246" spans="1:1" x14ac:dyDescent="0.25">
      <c r="A1246">
        <v>0</v>
      </c>
    </row>
    <row r="1247" spans="1:1" x14ac:dyDescent="0.25">
      <c r="A1247">
        <v>0</v>
      </c>
    </row>
    <row r="1248" spans="1:1" x14ac:dyDescent="0.25">
      <c r="A1248">
        <v>0</v>
      </c>
    </row>
    <row r="1249" spans="1:1" x14ac:dyDescent="0.25">
      <c r="A1249">
        <v>0</v>
      </c>
    </row>
    <row r="1250" spans="1:1" x14ac:dyDescent="0.25">
      <c r="A1250">
        <v>0</v>
      </c>
    </row>
    <row r="1251" spans="1:1" x14ac:dyDescent="0.25">
      <c r="A1251">
        <v>0</v>
      </c>
    </row>
    <row r="1252" spans="1:1" x14ac:dyDescent="0.25">
      <c r="A1252">
        <v>0</v>
      </c>
    </row>
    <row r="1253" spans="1:1" x14ac:dyDescent="0.25">
      <c r="A1253">
        <v>0</v>
      </c>
    </row>
    <row r="1254" spans="1:1" x14ac:dyDescent="0.25">
      <c r="A1254">
        <v>0</v>
      </c>
    </row>
    <row r="1255" spans="1:1" x14ac:dyDescent="0.25">
      <c r="A1255">
        <v>0</v>
      </c>
    </row>
    <row r="1256" spans="1:1" x14ac:dyDescent="0.25">
      <c r="A1256">
        <v>0</v>
      </c>
    </row>
    <row r="1257" spans="1:1" x14ac:dyDescent="0.25">
      <c r="A1257">
        <v>0</v>
      </c>
    </row>
    <row r="1258" spans="1:1" x14ac:dyDescent="0.25">
      <c r="A1258">
        <v>0</v>
      </c>
    </row>
    <row r="1259" spans="1:1" x14ac:dyDescent="0.25">
      <c r="A1259">
        <v>0</v>
      </c>
    </row>
    <row r="1260" spans="1:1" x14ac:dyDescent="0.25">
      <c r="A1260">
        <v>0</v>
      </c>
    </row>
    <row r="1261" spans="1:1" x14ac:dyDescent="0.25">
      <c r="A1261">
        <v>0</v>
      </c>
    </row>
    <row r="1262" spans="1:1" x14ac:dyDescent="0.25">
      <c r="A1262">
        <v>0</v>
      </c>
    </row>
    <row r="1263" spans="1:1" x14ac:dyDescent="0.25">
      <c r="A1263">
        <v>0</v>
      </c>
    </row>
    <row r="1264" spans="1:1" x14ac:dyDescent="0.25">
      <c r="A1264">
        <v>0</v>
      </c>
    </row>
    <row r="1265" spans="1:1" x14ac:dyDescent="0.25">
      <c r="A1265">
        <v>0</v>
      </c>
    </row>
    <row r="1266" spans="1:1" x14ac:dyDescent="0.25">
      <c r="A1266">
        <v>0</v>
      </c>
    </row>
    <row r="1267" spans="1:1" x14ac:dyDescent="0.25">
      <c r="A1267">
        <v>0</v>
      </c>
    </row>
    <row r="1268" spans="1:1" x14ac:dyDescent="0.25">
      <c r="A1268">
        <v>0</v>
      </c>
    </row>
    <row r="1269" spans="1:1" x14ac:dyDescent="0.25">
      <c r="A1269">
        <v>0</v>
      </c>
    </row>
    <row r="1270" spans="1:1" x14ac:dyDescent="0.25">
      <c r="A1270">
        <v>0</v>
      </c>
    </row>
    <row r="1271" spans="1:1" x14ac:dyDescent="0.25">
      <c r="A1271">
        <v>0</v>
      </c>
    </row>
    <row r="1272" spans="1:1" x14ac:dyDescent="0.25">
      <c r="A1272">
        <v>0</v>
      </c>
    </row>
    <row r="1273" spans="1:1" x14ac:dyDescent="0.25">
      <c r="A1273">
        <v>0</v>
      </c>
    </row>
    <row r="1274" spans="1:1" x14ac:dyDescent="0.25">
      <c r="A1274">
        <v>0</v>
      </c>
    </row>
    <row r="1275" spans="1:1" x14ac:dyDescent="0.25">
      <c r="A1275">
        <v>0</v>
      </c>
    </row>
    <row r="1276" spans="1:1" x14ac:dyDescent="0.25">
      <c r="A1276">
        <v>0</v>
      </c>
    </row>
    <row r="1277" spans="1:1" x14ac:dyDescent="0.25">
      <c r="A1277">
        <v>0</v>
      </c>
    </row>
    <row r="1278" spans="1:1" x14ac:dyDescent="0.25">
      <c r="A1278">
        <v>0</v>
      </c>
    </row>
    <row r="1279" spans="1:1" x14ac:dyDescent="0.25">
      <c r="A1279">
        <v>0</v>
      </c>
    </row>
    <row r="1280" spans="1:1" x14ac:dyDescent="0.25">
      <c r="A1280">
        <v>0</v>
      </c>
    </row>
    <row r="1281" spans="1:1" x14ac:dyDescent="0.25">
      <c r="A1281">
        <v>0</v>
      </c>
    </row>
    <row r="1282" spans="1:1" x14ac:dyDescent="0.25">
      <c r="A1282">
        <v>0</v>
      </c>
    </row>
    <row r="1283" spans="1:1" x14ac:dyDescent="0.25">
      <c r="A1283">
        <v>0</v>
      </c>
    </row>
    <row r="1284" spans="1:1" x14ac:dyDescent="0.25">
      <c r="A1284">
        <v>0</v>
      </c>
    </row>
    <row r="1285" spans="1:1" x14ac:dyDescent="0.25">
      <c r="A1285">
        <v>0</v>
      </c>
    </row>
    <row r="1286" spans="1:1" x14ac:dyDescent="0.25">
      <c r="A1286">
        <v>0</v>
      </c>
    </row>
    <row r="1287" spans="1:1" x14ac:dyDescent="0.25">
      <c r="A1287">
        <v>0</v>
      </c>
    </row>
    <row r="1288" spans="1:1" x14ac:dyDescent="0.25">
      <c r="A1288">
        <v>0</v>
      </c>
    </row>
    <row r="1289" spans="1:1" x14ac:dyDescent="0.25">
      <c r="A1289">
        <v>0</v>
      </c>
    </row>
    <row r="1290" spans="1:1" x14ac:dyDescent="0.25">
      <c r="A1290">
        <v>0</v>
      </c>
    </row>
    <row r="1291" spans="1:1" x14ac:dyDescent="0.25">
      <c r="A1291">
        <v>0</v>
      </c>
    </row>
    <row r="1292" spans="1:1" x14ac:dyDescent="0.25">
      <c r="A1292">
        <v>0</v>
      </c>
    </row>
    <row r="1293" spans="1:1" x14ac:dyDescent="0.25">
      <c r="A1293">
        <v>0</v>
      </c>
    </row>
    <row r="1294" spans="1:1" x14ac:dyDescent="0.25">
      <c r="A1294">
        <v>0</v>
      </c>
    </row>
    <row r="1295" spans="1:1" x14ac:dyDescent="0.25">
      <c r="A1295">
        <v>0</v>
      </c>
    </row>
    <row r="1296" spans="1:1" x14ac:dyDescent="0.25">
      <c r="A1296">
        <v>0</v>
      </c>
    </row>
    <row r="1297" spans="1:1" x14ac:dyDescent="0.25">
      <c r="A1297">
        <v>0</v>
      </c>
    </row>
    <row r="1298" spans="1:1" x14ac:dyDescent="0.25">
      <c r="A1298">
        <v>0</v>
      </c>
    </row>
    <row r="1299" spans="1:1" x14ac:dyDescent="0.25">
      <c r="A1299">
        <v>0</v>
      </c>
    </row>
    <row r="1300" spans="1:1" x14ac:dyDescent="0.25">
      <c r="A1300">
        <v>0</v>
      </c>
    </row>
    <row r="1301" spans="1:1" x14ac:dyDescent="0.25">
      <c r="A1301">
        <v>0</v>
      </c>
    </row>
    <row r="1302" spans="1:1" x14ac:dyDescent="0.25">
      <c r="A1302">
        <v>0</v>
      </c>
    </row>
    <row r="1303" spans="1:1" x14ac:dyDescent="0.25">
      <c r="A1303">
        <v>0</v>
      </c>
    </row>
    <row r="1304" spans="1:1" x14ac:dyDescent="0.25">
      <c r="A1304">
        <v>0</v>
      </c>
    </row>
    <row r="1305" spans="1:1" x14ac:dyDescent="0.25">
      <c r="A1305">
        <v>0</v>
      </c>
    </row>
    <row r="1306" spans="1:1" x14ac:dyDescent="0.25">
      <c r="A1306">
        <v>0</v>
      </c>
    </row>
    <row r="1307" spans="1:1" x14ac:dyDescent="0.25">
      <c r="A1307">
        <v>0</v>
      </c>
    </row>
    <row r="1308" spans="1:1" x14ac:dyDescent="0.25">
      <c r="A1308">
        <v>0</v>
      </c>
    </row>
    <row r="1309" spans="1:1" x14ac:dyDescent="0.25">
      <c r="A1309">
        <v>0</v>
      </c>
    </row>
    <row r="1310" spans="1:1" x14ac:dyDescent="0.25">
      <c r="A1310">
        <v>0</v>
      </c>
    </row>
    <row r="1311" spans="1:1" x14ac:dyDescent="0.25">
      <c r="A1311">
        <v>0</v>
      </c>
    </row>
    <row r="1312" spans="1:1" x14ac:dyDescent="0.25">
      <c r="A1312">
        <v>0</v>
      </c>
    </row>
    <row r="1313" spans="1:1" x14ac:dyDescent="0.25">
      <c r="A1313">
        <v>0</v>
      </c>
    </row>
    <row r="1314" spans="1:1" x14ac:dyDescent="0.25">
      <c r="A1314">
        <v>0</v>
      </c>
    </row>
    <row r="1315" spans="1:1" x14ac:dyDescent="0.25">
      <c r="A1315">
        <v>0</v>
      </c>
    </row>
    <row r="1316" spans="1:1" x14ac:dyDescent="0.25">
      <c r="A1316">
        <v>0</v>
      </c>
    </row>
    <row r="1317" spans="1:1" x14ac:dyDescent="0.25">
      <c r="A1317">
        <v>0</v>
      </c>
    </row>
    <row r="1318" spans="1:1" x14ac:dyDescent="0.25">
      <c r="A1318">
        <v>0</v>
      </c>
    </row>
    <row r="1319" spans="1:1" x14ac:dyDescent="0.25">
      <c r="A1319">
        <v>0</v>
      </c>
    </row>
    <row r="1320" spans="1:1" x14ac:dyDescent="0.25">
      <c r="A1320">
        <v>0</v>
      </c>
    </row>
    <row r="1321" spans="1:1" x14ac:dyDescent="0.25">
      <c r="A1321">
        <v>0</v>
      </c>
    </row>
    <row r="1322" spans="1:1" x14ac:dyDescent="0.25">
      <c r="A1322">
        <v>0</v>
      </c>
    </row>
    <row r="1323" spans="1:1" x14ac:dyDescent="0.25">
      <c r="A1323">
        <v>0</v>
      </c>
    </row>
    <row r="1324" spans="1:1" x14ac:dyDescent="0.25">
      <c r="A1324">
        <v>0</v>
      </c>
    </row>
    <row r="1325" spans="1:1" x14ac:dyDescent="0.25">
      <c r="A1325">
        <v>0</v>
      </c>
    </row>
    <row r="1326" spans="1:1" x14ac:dyDescent="0.25">
      <c r="A1326">
        <v>0</v>
      </c>
    </row>
    <row r="1327" spans="1:1" x14ac:dyDescent="0.25">
      <c r="A1327">
        <v>0</v>
      </c>
    </row>
    <row r="1328" spans="1:1" x14ac:dyDescent="0.25">
      <c r="A1328">
        <v>0</v>
      </c>
    </row>
    <row r="1329" spans="1:1" x14ac:dyDescent="0.25">
      <c r="A1329">
        <v>0</v>
      </c>
    </row>
    <row r="1330" spans="1:1" x14ac:dyDescent="0.25">
      <c r="A1330">
        <v>0</v>
      </c>
    </row>
    <row r="1331" spans="1:1" x14ac:dyDescent="0.25">
      <c r="A1331">
        <v>0</v>
      </c>
    </row>
    <row r="1332" spans="1:1" x14ac:dyDescent="0.25">
      <c r="A1332">
        <v>0</v>
      </c>
    </row>
    <row r="1333" spans="1:1" x14ac:dyDescent="0.25">
      <c r="A1333">
        <v>0</v>
      </c>
    </row>
    <row r="1334" spans="1:1" x14ac:dyDescent="0.25">
      <c r="A1334">
        <v>0</v>
      </c>
    </row>
    <row r="1335" spans="1:1" x14ac:dyDescent="0.25">
      <c r="A1335">
        <v>0</v>
      </c>
    </row>
    <row r="1336" spans="1:1" x14ac:dyDescent="0.25">
      <c r="A1336">
        <v>0</v>
      </c>
    </row>
    <row r="1337" spans="1:1" x14ac:dyDescent="0.25">
      <c r="A1337">
        <v>0</v>
      </c>
    </row>
    <row r="1338" spans="1:1" x14ac:dyDescent="0.25">
      <c r="A1338">
        <v>0</v>
      </c>
    </row>
    <row r="1339" spans="1:1" x14ac:dyDescent="0.25">
      <c r="A1339">
        <v>0</v>
      </c>
    </row>
    <row r="1340" spans="1:1" x14ac:dyDescent="0.25">
      <c r="A1340">
        <v>0</v>
      </c>
    </row>
    <row r="1341" spans="1:1" x14ac:dyDescent="0.25">
      <c r="A1341">
        <v>0</v>
      </c>
    </row>
    <row r="1342" spans="1:1" x14ac:dyDescent="0.25">
      <c r="A1342">
        <v>0</v>
      </c>
    </row>
    <row r="1343" spans="1:1" x14ac:dyDescent="0.25">
      <c r="A1343">
        <v>0</v>
      </c>
    </row>
    <row r="1344" spans="1:1" x14ac:dyDescent="0.25">
      <c r="A1344">
        <v>0</v>
      </c>
    </row>
    <row r="1345" spans="1:1" x14ac:dyDescent="0.25">
      <c r="A1345">
        <v>0</v>
      </c>
    </row>
    <row r="1346" spans="1:1" x14ac:dyDescent="0.25">
      <c r="A1346">
        <v>0</v>
      </c>
    </row>
    <row r="1347" spans="1:1" x14ac:dyDescent="0.25">
      <c r="A1347">
        <v>0</v>
      </c>
    </row>
    <row r="1348" spans="1:1" x14ac:dyDescent="0.25">
      <c r="A1348">
        <v>0</v>
      </c>
    </row>
    <row r="1349" spans="1:1" x14ac:dyDescent="0.25">
      <c r="A1349">
        <v>0</v>
      </c>
    </row>
    <row r="1350" spans="1:1" x14ac:dyDescent="0.25">
      <c r="A1350">
        <v>0</v>
      </c>
    </row>
    <row r="1351" spans="1:1" x14ac:dyDescent="0.25">
      <c r="A1351">
        <v>0</v>
      </c>
    </row>
    <row r="1352" spans="1:1" x14ac:dyDescent="0.25">
      <c r="A1352">
        <v>0</v>
      </c>
    </row>
    <row r="1353" spans="1:1" x14ac:dyDescent="0.25">
      <c r="A1353">
        <v>0</v>
      </c>
    </row>
    <row r="1354" spans="1:1" x14ac:dyDescent="0.25">
      <c r="A1354">
        <v>0</v>
      </c>
    </row>
    <row r="1355" spans="1:1" x14ac:dyDescent="0.25">
      <c r="A1355">
        <v>0</v>
      </c>
    </row>
    <row r="1356" spans="1:1" x14ac:dyDescent="0.25">
      <c r="A1356">
        <v>0</v>
      </c>
    </row>
    <row r="1357" spans="1:1" x14ac:dyDescent="0.25">
      <c r="A1357">
        <v>0</v>
      </c>
    </row>
    <row r="1358" spans="1:1" x14ac:dyDescent="0.25">
      <c r="A1358">
        <v>0</v>
      </c>
    </row>
    <row r="1359" spans="1:1" x14ac:dyDescent="0.25">
      <c r="A1359">
        <v>0</v>
      </c>
    </row>
    <row r="1360" spans="1:1" x14ac:dyDescent="0.25">
      <c r="A1360">
        <v>0</v>
      </c>
    </row>
    <row r="1361" spans="1:1" x14ac:dyDescent="0.25">
      <c r="A1361">
        <v>0</v>
      </c>
    </row>
    <row r="1362" spans="1:1" x14ac:dyDescent="0.25">
      <c r="A1362">
        <v>0</v>
      </c>
    </row>
    <row r="1363" spans="1:1" x14ac:dyDescent="0.25">
      <c r="A1363">
        <v>0</v>
      </c>
    </row>
    <row r="1364" spans="1:1" x14ac:dyDescent="0.25">
      <c r="A1364">
        <v>0</v>
      </c>
    </row>
    <row r="1365" spans="1:1" x14ac:dyDescent="0.25">
      <c r="A1365">
        <v>0</v>
      </c>
    </row>
    <row r="1366" spans="1:1" x14ac:dyDescent="0.25">
      <c r="A1366">
        <v>0</v>
      </c>
    </row>
    <row r="1367" spans="1:1" x14ac:dyDescent="0.25">
      <c r="A1367">
        <v>0</v>
      </c>
    </row>
    <row r="1368" spans="1:1" x14ac:dyDescent="0.25">
      <c r="A1368">
        <v>0</v>
      </c>
    </row>
    <row r="1369" spans="1:1" x14ac:dyDescent="0.25">
      <c r="A1369">
        <v>0</v>
      </c>
    </row>
    <row r="1370" spans="1:1" x14ac:dyDescent="0.25">
      <c r="A1370">
        <v>0</v>
      </c>
    </row>
    <row r="1371" spans="1:1" x14ac:dyDescent="0.25">
      <c r="A1371">
        <v>0</v>
      </c>
    </row>
    <row r="1372" spans="1:1" x14ac:dyDescent="0.25">
      <c r="A1372">
        <v>0</v>
      </c>
    </row>
    <row r="1373" spans="1:1" x14ac:dyDescent="0.25">
      <c r="A1373">
        <v>0</v>
      </c>
    </row>
    <row r="1374" spans="1:1" x14ac:dyDescent="0.25">
      <c r="A1374">
        <v>0</v>
      </c>
    </row>
    <row r="1375" spans="1:1" x14ac:dyDescent="0.25">
      <c r="A1375">
        <v>0</v>
      </c>
    </row>
    <row r="1376" spans="1:1" x14ac:dyDescent="0.25">
      <c r="A1376">
        <v>0</v>
      </c>
    </row>
    <row r="1377" spans="1:1" x14ac:dyDescent="0.25">
      <c r="A1377">
        <v>0</v>
      </c>
    </row>
    <row r="1378" spans="1:1" x14ac:dyDescent="0.25">
      <c r="A1378">
        <v>0</v>
      </c>
    </row>
    <row r="1379" spans="1:1" x14ac:dyDescent="0.25">
      <c r="A1379">
        <v>0</v>
      </c>
    </row>
    <row r="1380" spans="1:1" x14ac:dyDescent="0.25">
      <c r="A1380">
        <v>0</v>
      </c>
    </row>
    <row r="1381" spans="1:1" x14ac:dyDescent="0.25">
      <c r="A1381">
        <v>0</v>
      </c>
    </row>
    <row r="1382" spans="1:1" x14ac:dyDescent="0.25">
      <c r="A1382">
        <v>0</v>
      </c>
    </row>
    <row r="1383" spans="1:1" x14ac:dyDescent="0.25">
      <c r="A1383">
        <v>0</v>
      </c>
    </row>
    <row r="1384" spans="1:1" x14ac:dyDescent="0.25">
      <c r="A1384">
        <v>0</v>
      </c>
    </row>
    <row r="1385" spans="1:1" x14ac:dyDescent="0.25">
      <c r="A1385">
        <v>0</v>
      </c>
    </row>
    <row r="1386" spans="1:1" x14ac:dyDescent="0.25">
      <c r="A1386">
        <v>0</v>
      </c>
    </row>
    <row r="1387" spans="1:1" x14ac:dyDescent="0.25">
      <c r="A1387">
        <v>0</v>
      </c>
    </row>
    <row r="1388" spans="1:1" x14ac:dyDescent="0.25">
      <c r="A1388">
        <v>0</v>
      </c>
    </row>
    <row r="1389" spans="1:1" x14ac:dyDescent="0.25">
      <c r="A1389">
        <v>0</v>
      </c>
    </row>
    <row r="1390" spans="1:1" x14ac:dyDescent="0.25">
      <c r="A1390">
        <v>0</v>
      </c>
    </row>
    <row r="1391" spans="1:1" x14ac:dyDescent="0.25">
      <c r="A1391">
        <v>0</v>
      </c>
    </row>
    <row r="1392" spans="1:1" x14ac:dyDescent="0.25">
      <c r="A1392">
        <v>0</v>
      </c>
    </row>
    <row r="1393" spans="1:1" x14ac:dyDescent="0.25">
      <c r="A1393">
        <v>0</v>
      </c>
    </row>
    <row r="1394" spans="1:1" x14ac:dyDescent="0.25">
      <c r="A1394">
        <v>0</v>
      </c>
    </row>
    <row r="1395" spans="1:1" x14ac:dyDescent="0.25">
      <c r="A1395">
        <v>0</v>
      </c>
    </row>
    <row r="1396" spans="1:1" x14ac:dyDescent="0.25">
      <c r="A139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E200-7EA4-4D45-ADB6-AC3AA2989BC8}">
  <dimension ref="A2:C27"/>
  <sheetViews>
    <sheetView topLeftCell="A10" workbookViewId="0">
      <selection activeCell="B27" sqref="B27"/>
    </sheetView>
  </sheetViews>
  <sheetFormatPr baseColWidth="10" defaultRowHeight="15" x14ac:dyDescent="0.25"/>
  <sheetData>
    <row r="2" spans="1:3" x14ac:dyDescent="0.25">
      <c r="A2" t="s">
        <v>57</v>
      </c>
    </row>
    <row r="3" spans="1:3" x14ac:dyDescent="0.25">
      <c r="A3" t="s">
        <v>58</v>
      </c>
    </row>
    <row r="4" spans="1:3" x14ac:dyDescent="0.25">
      <c r="A4" t="s">
        <v>59</v>
      </c>
    </row>
    <row r="5" spans="1:3" x14ac:dyDescent="0.25">
      <c r="A5" t="s">
        <v>60</v>
      </c>
    </row>
    <row r="6" spans="1:3" x14ac:dyDescent="0.25">
      <c r="A6" t="s">
        <v>61</v>
      </c>
    </row>
    <row r="15" spans="1:3" ht="26.25" x14ac:dyDescent="0.4">
      <c r="B15" s="29">
        <f>+(70/(46.656*0.4))*((70^2/120)-127*0.08)</f>
        <v>115.05129743941472</v>
      </c>
      <c r="C15" s="28" t="s">
        <v>62</v>
      </c>
    </row>
    <row r="27" spans="2:2" ht="26.25" x14ac:dyDescent="0.4">
      <c r="B27" s="29">
        <f>3.65*8/0.38</f>
        <v>76.84210526315789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2025-10-01T04:15:45Z</dcterms:created>
  <dcterms:modified xsi:type="dcterms:W3CDTF">2025-10-04T03:25:14Z</dcterms:modified>
</cp:coreProperties>
</file>