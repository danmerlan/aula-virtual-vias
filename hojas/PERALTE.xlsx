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osev\Downloads\"/>
    </mc:Choice>
  </mc:AlternateContent>
  <xr:revisionPtr revIDLastSave="0" documentId="8_{47044347-113A-4F10-8C00-FC0A6DBA2C75}" xr6:coauthVersionLast="47" xr6:coauthVersionMax="47" xr10:uidLastSave="{00000000-0000-0000-0000-000000000000}"/>
  <bookViews>
    <workbookView xWindow="-108" yWindow="-108" windowWidth="23256" windowHeight="12456" activeTab="2" xr2:uid="{47B4AAF9-B417-427C-9A3D-CE1A0171448A}"/>
  </bookViews>
  <sheets>
    <sheet name="PERALTE-P4" sheetId="1" r:id="rId1"/>
    <sheet name="PERALTE CIRCULAR" sheetId="2" r:id="rId2"/>
    <sheet name="PERALTE ESPIR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9" i="3" l="1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65" i="3"/>
  <c r="Q64" i="3"/>
  <c r="L64" i="3"/>
  <c r="I64" i="3"/>
  <c r="J81" i="3"/>
  <c r="J79" i="3"/>
  <c r="J80" i="3"/>
  <c r="J70" i="3"/>
  <c r="J65" i="3"/>
  <c r="C27" i="2"/>
  <c r="B35" i="3"/>
  <c r="G37" i="3" s="1"/>
  <c r="C33" i="3"/>
  <c r="K78" i="3"/>
  <c r="K77" i="3"/>
  <c r="K76" i="3"/>
  <c r="K75" i="3"/>
  <c r="K74" i="3"/>
  <c r="K73" i="3"/>
  <c r="G55" i="3"/>
  <c r="G54" i="3"/>
  <c r="G52" i="3"/>
  <c r="G43" i="3"/>
  <c r="G28" i="3"/>
  <c r="G25" i="3"/>
  <c r="O21" i="3"/>
  <c r="C14" i="3"/>
  <c r="C7" i="3"/>
  <c r="M77" i="3" s="1"/>
  <c r="C5" i="3"/>
  <c r="L21" i="2"/>
  <c r="N21" i="2" s="1"/>
  <c r="K73" i="2"/>
  <c r="K74" i="2"/>
  <c r="K75" i="2"/>
  <c r="K76" i="2"/>
  <c r="K77" i="2"/>
  <c r="K78" i="2"/>
  <c r="K79" i="2"/>
  <c r="K80" i="2"/>
  <c r="J80" i="2"/>
  <c r="J25" i="1"/>
  <c r="J23" i="1"/>
  <c r="J22" i="1"/>
  <c r="C14" i="2"/>
  <c r="C33" i="2"/>
  <c r="H25" i="2" s="1"/>
  <c r="G55" i="2"/>
  <c r="G59" i="2"/>
  <c r="G52" i="2"/>
  <c r="G43" i="2"/>
  <c r="G37" i="2"/>
  <c r="G28" i="2"/>
  <c r="G25" i="2"/>
  <c r="O21" i="2"/>
  <c r="C7" i="2"/>
  <c r="M38" i="2" s="1"/>
  <c r="C5" i="2"/>
  <c r="H21" i="1"/>
  <c r="M102" i="1"/>
  <c r="L102" i="1"/>
  <c r="H102" i="1"/>
  <c r="G102" i="1"/>
  <c r="M101" i="1"/>
  <c r="M100" i="1"/>
  <c r="J100" i="1"/>
  <c r="L100" i="1" s="1"/>
  <c r="H100" i="1"/>
  <c r="H101" i="1" s="1"/>
  <c r="M99" i="1"/>
  <c r="H99" i="1"/>
  <c r="J99" i="1" s="1"/>
  <c r="L99" i="1" s="1"/>
  <c r="M98" i="1"/>
  <c r="H98" i="1"/>
  <c r="J98" i="1" s="1"/>
  <c r="L98" i="1" s="1"/>
  <c r="G98" i="1"/>
  <c r="M97" i="1"/>
  <c r="M96" i="1"/>
  <c r="H96" i="1"/>
  <c r="H97" i="1" s="1"/>
  <c r="M95" i="1"/>
  <c r="L95" i="1"/>
  <c r="H95" i="1"/>
  <c r="G95" i="1"/>
  <c r="M86" i="1"/>
  <c r="L86" i="1"/>
  <c r="H86" i="1"/>
  <c r="H87" i="1" s="1"/>
  <c r="G86" i="1"/>
  <c r="M85" i="1"/>
  <c r="L85" i="1"/>
  <c r="M84" i="1"/>
  <c r="L84" i="1"/>
  <c r="M83" i="1"/>
  <c r="L83" i="1"/>
  <c r="M82" i="1"/>
  <c r="L82" i="1"/>
  <c r="M81" i="1"/>
  <c r="L81" i="1"/>
  <c r="H81" i="1"/>
  <c r="H82" i="1" s="1"/>
  <c r="M80" i="1"/>
  <c r="L80" i="1"/>
  <c r="H80" i="1"/>
  <c r="G80" i="1"/>
  <c r="H72" i="1"/>
  <c r="J72" i="1" s="1"/>
  <c r="M71" i="1"/>
  <c r="L71" i="1"/>
  <c r="H71" i="1"/>
  <c r="G71" i="1"/>
  <c r="M70" i="1"/>
  <c r="J70" i="1"/>
  <c r="L70" i="1" s="1"/>
  <c r="H70" i="1"/>
  <c r="M69" i="1"/>
  <c r="H69" i="1"/>
  <c r="J69" i="1" s="1"/>
  <c r="L69" i="1" s="1"/>
  <c r="M68" i="1"/>
  <c r="H68" i="1"/>
  <c r="J68" i="1" s="1"/>
  <c r="L68" i="1" s="1"/>
  <c r="G68" i="1"/>
  <c r="M67" i="1"/>
  <c r="M66" i="1"/>
  <c r="M65" i="1"/>
  <c r="O64" i="1"/>
  <c r="M64" i="1"/>
  <c r="P64" i="1" s="1"/>
  <c r="L64" i="1"/>
  <c r="N64" i="1" s="1"/>
  <c r="H64" i="1"/>
  <c r="H65" i="1" s="1"/>
  <c r="C26" i="1"/>
  <c r="C24" i="1"/>
  <c r="C22" i="1"/>
  <c r="C21" i="1"/>
  <c r="C20" i="1"/>
  <c r="C14" i="1"/>
  <c r="C19" i="1"/>
  <c r="C5" i="1"/>
  <c r="C7" i="1"/>
  <c r="F10" i="1"/>
  <c r="F11" i="1" s="1"/>
  <c r="F13" i="1"/>
  <c r="L21" i="1"/>
  <c r="M21" i="1"/>
  <c r="O21" i="1"/>
  <c r="P21" i="1" s="1"/>
  <c r="M22" i="1"/>
  <c r="M23" i="1"/>
  <c r="M24" i="1"/>
  <c r="G25" i="1"/>
  <c r="M25" i="1"/>
  <c r="M26" i="1"/>
  <c r="M27" i="1"/>
  <c r="G28" i="1"/>
  <c r="L28" i="1"/>
  <c r="M28" i="1"/>
  <c r="C31" i="1"/>
  <c r="G37" i="1"/>
  <c r="L37" i="1"/>
  <c r="M37" i="1"/>
  <c r="L38" i="1"/>
  <c r="M38" i="1"/>
  <c r="L39" i="1"/>
  <c r="M39" i="1"/>
  <c r="L40" i="1"/>
  <c r="M40" i="1"/>
  <c r="L41" i="1"/>
  <c r="M41" i="1"/>
  <c r="L42" i="1"/>
  <c r="M42" i="1"/>
  <c r="G43" i="1"/>
  <c r="L43" i="1"/>
  <c r="M43" i="1"/>
  <c r="G52" i="1"/>
  <c r="L52" i="1"/>
  <c r="M52" i="1"/>
  <c r="M53" i="1"/>
  <c r="M54" i="1"/>
  <c r="G55" i="1"/>
  <c r="M55" i="1"/>
  <c r="M56" i="1"/>
  <c r="M57" i="1"/>
  <c r="M58" i="1"/>
  <c r="G59" i="1"/>
  <c r="L59" i="1"/>
  <c r="M59" i="1"/>
  <c r="M21" i="3" l="1"/>
  <c r="C27" i="3"/>
  <c r="C32" i="3" s="1"/>
  <c r="L68" i="3"/>
  <c r="L28" i="3"/>
  <c r="L76" i="3"/>
  <c r="M28" i="3"/>
  <c r="G69" i="3"/>
  <c r="M102" i="3"/>
  <c r="M37" i="3"/>
  <c r="L21" i="3"/>
  <c r="N21" i="3" s="1"/>
  <c r="L39" i="3"/>
  <c r="M22" i="3"/>
  <c r="M52" i="3"/>
  <c r="M24" i="3"/>
  <c r="M55" i="3"/>
  <c r="M25" i="3"/>
  <c r="L84" i="3"/>
  <c r="M64" i="3"/>
  <c r="M84" i="3"/>
  <c r="C34" i="3"/>
  <c r="H28" i="3" s="1"/>
  <c r="M39" i="3"/>
  <c r="P21" i="3"/>
  <c r="L102" i="3"/>
  <c r="M100" i="3"/>
  <c r="L95" i="3"/>
  <c r="M87" i="3"/>
  <c r="M85" i="3"/>
  <c r="L77" i="3"/>
  <c r="M67" i="3"/>
  <c r="L52" i="3"/>
  <c r="M42" i="3"/>
  <c r="L37" i="3"/>
  <c r="M26" i="3"/>
  <c r="M97" i="3"/>
  <c r="M41" i="3"/>
  <c r="M96" i="3"/>
  <c r="M75" i="3"/>
  <c r="L42" i="3"/>
  <c r="M40" i="3"/>
  <c r="C16" i="3"/>
  <c r="C21" i="3" s="1"/>
  <c r="M27" i="3"/>
  <c r="C22" i="3"/>
  <c r="C24" i="3" s="1"/>
  <c r="C25" i="3" s="1"/>
  <c r="M68" i="3"/>
  <c r="M101" i="3"/>
  <c r="M88" i="3"/>
  <c r="L75" i="3"/>
  <c r="M65" i="3"/>
  <c r="L40" i="3"/>
  <c r="L38" i="3"/>
  <c r="L43" i="3"/>
  <c r="M76" i="3"/>
  <c r="L88" i="3"/>
  <c r="M73" i="3"/>
  <c r="M59" i="3"/>
  <c r="M56" i="3"/>
  <c r="M53" i="3"/>
  <c r="M38" i="3"/>
  <c r="M23" i="3"/>
  <c r="M43" i="3"/>
  <c r="L78" i="3"/>
  <c r="M99" i="3"/>
  <c r="M86" i="3"/>
  <c r="M78" i="3"/>
  <c r="L73" i="3"/>
  <c r="L59" i="3"/>
  <c r="M57" i="3"/>
  <c r="M95" i="3"/>
  <c r="M58" i="3"/>
  <c r="M66" i="3"/>
  <c r="L74" i="3"/>
  <c r="L41" i="3"/>
  <c r="M54" i="3"/>
  <c r="M74" i="3"/>
  <c r="M98" i="3"/>
  <c r="H25" i="3"/>
  <c r="L64" i="2"/>
  <c r="L28" i="2"/>
  <c r="M37" i="2"/>
  <c r="M67" i="2"/>
  <c r="L43" i="2"/>
  <c r="M43" i="2"/>
  <c r="C16" i="2"/>
  <c r="C21" i="2" s="1"/>
  <c r="M21" i="2"/>
  <c r="P21" i="2" s="1"/>
  <c r="M97" i="2"/>
  <c r="M22" i="2"/>
  <c r="M56" i="2"/>
  <c r="M59" i="2"/>
  <c r="L38" i="2"/>
  <c r="M86" i="2"/>
  <c r="M95" i="2"/>
  <c r="L84" i="2"/>
  <c r="M65" i="2"/>
  <c r="L52" i="2"/>
  <c r="M39" i="2"/>
  <c r="C22" i="2"/>
  <c r="C23" i="2" s="1"/>
  <c r="C24" i="2" s="1"/>
  <c r="C25" i="2" s="1"/>
  <c r="C26" i="2" s="1"/>
  <c r="L95" i="2"/>
  <c r="L39" i="2"/>
  <c r="M102" i="2"/>
  <c r="M99" i="2"/>
  <c r="M80" i="2"/>
  <c r="L59" i="2"/>
  <c r="M53" i="2"/>
  <c r="M42" i="2"/>
  <c r="L37" i="2"/>
  <c r="L40" i="2"/>
  <c r="L102" i="2"/>
  <c r="M96" i="2"/>
  <c r="M85" i="2"/>
  <c r="M66" i="2"/>
  <c r="L42" i="2"/>
  <c r="M28" i="2"/>
  <c r="M54" i="2"/>
  <c r="M40" i="2"/>
  <c r="M24" i="2"/>
  <c r="M57" i="2"/>
  <c r="M100" i="2"/>
  <c r="M101" i="2"/>
  <c r="M98" i="2"/>
  <c r="M84" i="2"/>
  <c r="M58" i="2"/>
  <c r="M55" i="2"/>
  <c r="M41" i="2"/>
  <c r="M26" i="2"/>
  <c r="M68" i="2"/>
  <c r="M52" i="2"/>
  <c r="L41" i="2"/>
  <c r="M25" i="2"/>
  <c r="H26" i="2"/>
  <c r="M23" i="2"/>
  <c r="M27" i="2"/>
  <c r="M64" i="2"/>
  <c r="H83" i="1"/>
  <c r="J65" i="1"/>
  <c r="L65" i="1" s="1"/>
  <c r="H66" i="1"/>
  <c r="I65" i="1"/>
  <c r="O65" i="1" s="1"/>
  <c r="J101" i="1"/>
  <c r="L101" i="1" s="1"/>
  <c r="L72" i="1"/>
  <c r="K72" i="1"/>
  <c r="M72" i="1" s="1"/>
  <c r="J87" i="1"/>
  <c r="H88" i="1"/>
  <c r="J97" i="1"/>
  <c r="L97" i="1" s="1"/>
  <c r="H73" i="1"/>
  <c r="J96" i="1"/>
  <c r="L96" i="1" s="1"/>
  <c r="F12" i="1"/>
  <c r="C36" i="1" s="1"/>
  <c r="H55" i="1" s="1"/>
  <c r="C34" i="1"/>
  <c r="H43" i="1" s="1"/>
  <c r="H44" i="1" s="1"/>
  <c r="H45" i="1" s="1"/>
  <c r="C33" i="1"/>
  <c r="H37" i="1" s="1"/>
  <c r="H38" i="1" s="1"/>
  <c r="H39" i="1" s="1"/>
  <c r="C23" i="1"/>
  <c r="C25" i="1"/>
  <c r="H25" i="1"/>
  <c r="N21" i="1"/>
  <c r="F6" i="3" l="1"/>
  <c r="F10" i="3"/>
  <c r="C28" i="3"/>
  <c r="H26" i="3"/>
  <c r="C26" i="3"/>
  <c r="F10" i="2"/>
  <c r="H67" i="1"/>
  <c r="I66" i="1"/>
  <c r="O66" i="1" s="1"/>
  <c r="J66" i="1"/>
  <c r="L66" i="1" s="1"/>
  <c r="P65" i="1"/>
  <c r="N65" i="1"/>
  <c r="J88" i="1"/>
  <c r="H89" i="1"/>
  <c r="H74" i="1"/>
  <c r="J73" i="1"/>
  <c r="H84" i="1"/>
  <c r="L87" i="1"/>
  <c r="K87" i="1"/>
  <c r="M87" i="1" s="1"/>
  <c r="C32" i="1"/>
  <c r="H28" i="1" s="1"/>
  <c r="H29" i="1" s="1"/>
  <c r="J29" i="1" s="1"/>
  <c r="C37" i="1"/>
  <c r="H59" i="1" s="1"/>
  <c r="C35" i="1"/>
  <c r="H52" i="1" s="1"/>
  <c r="J44" i="1" s="1"/>
  <c r="L44" i="1" s="1"/>
  <c r="H56" i="1"/>
  <c r="H26" i="1"/>
  <c r="H40" i="1"/>
  <c r="C30" i="1"/>
  <c r="H46" i="1"/>
  <c r="F12" i="3" l="1"/>
  <c r="C35" i="3"/>
  <c r="H37" i="3" s="1"/>
  <c r="F11" i="3"/>
  <c r="C36" i="3" s="1"/>
  <c r="H43" i="3" s="1"/>
  <c r="H21" i="3"/>
  <c r="H22" i="3" s="1"/>
  <c r="F11" i="2"/>
  <c r="C36" i="2" s="1"/>
  <c r="H43" i="2" s="1"/>
  <c r="H44" i="2" s="1"/>
  <c r="H45" i="2" s="1"/>
  <c r="F13" i="2"/>
  <c r="C35" i="2"/>
  <c r="H37" i="2" s="1"/>
  <c r="C28" i="2"/>
  <c r="C34" i="2"/>
  <c r="H28" i="2" s="1"/>
  <c r="C32" i="2"/>
  <c r="H21" i="2" s="1"/>
  <c r="K73" i="1"/>
  <c r="M73" i="1" s="1"/>
  <c r="L73" i="1"/>
  <c r="H90" i="1"/>
  <c r="J89" i="1"/>
  <c r="L88" i="1"/>
  <c r="K88" i="1"/>
  <c r="M88" i="1" s="1"/>
  <c r="H85" i="1"/>
  <c r="H75" i="1"/>
  <c r="J74" i="1"/>
  <c r="P66" i="1"/>
  <c r="N66" i="1"/>
  <c r="J67" i="1"/>
  <c r="L67" i="1" s="1"/>
  <c r="I67" i="1"/>
  <c r="O67" i="1" s="1"/>
  <c r="J45" i="1"/>
  <c r="L45" i="1" s="1"/>
  <c r="H53" i="1"/>
  <c r="J53" i="1" s="1"/>
  <c r="L53" i="1" s="1"/>
  <c r="J55" i="1"/>
  <c r="L55" i="1" s="1"/>
  <c r="J26" i="1"/>
  <c r="L26" i="1" s="1"/>
  <c r="K44" i="1"/>
  <c r="M44" i="1" s="1"/>
  <c r="H57" i="1"/>
  <c r="H41" i="1"/>
  <c r="K29" i="1"/>
  <c r="M29" i="1" s="1"/>
  <c r="L29" i="1"/>
  <c r="H30" i="1"/>
  <c r="H27" i="1"/>
  <c r="H47" i="1"/>
  <c r="J46" i="1"/>
  <c r="J56" i="1"/>
  <c r="L56" i="1" s="1"/>
  <c r="C37" i="3" l="1"/>
  <c r="H47" i="3" s="1"/>
  <c r="F14" i="3"/>
  <c r="F13" i="3" s="1"/>
  <c r="C38" i="3" s="1"/>
  <c r="J33" i="3"/>
  <c r="J34" i="3"/>
  <c r="H38" i="3"/>
  <c r="J36" i="3"/>
  <c r="J32" i="3"/>
  <c r="J31" i="3"/>
  <c r="J35" i="3"/>
  <c r="I22" i="3"/>
  <c r="O22" i="3" s="1"/>
  <c r="H52" i="3"/>
  <c r="C39" i="3"/>
  <c r="J22" i="3"/>
  <c r="L22" i="3" s="1"/>
  <c r="J27" i="3"/>
  <c r="L27" i="3" s="1"/>
  <c r="J26" i="3"/>
  <c r="L26" i="3" s="1"/>
  <c r="J29" i="3"/>
  <c r="J23" i="3"/>
  <c r="L23" i="3" s="1"/>
  <c r="J24" i="3"/>
  <c r="L24" i="3" s="1"/>
  <c r="J25" i="3"/>
  <c r="L25" i="3" s="1"/>
  <c r="H44" i="3"/>
  <c r="J31" i="2"/>
  <c r="J25" i="2"/>
  <c r="L25" i="2" s="1"/>
  <c r="J26" i="2"/>
  <c r="L26" i="2" s="1"/>
  <c r="H22" i="2"/>
  <c r="J22" i="2" s="1"/>
  <c r="L22" i="2" s="1"/>
  <c r="J27" i="2"/>
  <c r="L27" i="2" s="1"/>
  <c r="L68" i="2"/>
  <c r="I22" i="2"/>
  <c r="O22" i="2" s="1"/>
  <c r="P22" i="2" s="1"/>
  <c r="C38" i="2"/>
  <c r="F14" i="2" s="1"/>
  <c r="F12" i="2"/>
  <c r="C37" i="2" s="1"/>
  <c r="H52" i="2" s="1"/>
  <c r="J89" i="2" s="1"/>
  <c r="L89" i="2" s="1"/>
  <c r="H29" i="2"/>
  <c r="H30" i="2" s="1"/>
  <c r="H38" i="2"/>
  <c r="H46" i="2"/>
  <c r="L74" i="1"/>
  <c r="K74" i="1"/>
  <c r="M74" i="1" s="1"/>
  <c r="J75" i="1"/>
  <c r="H76" i="1"/>
  <c r="L89" i="1"/>
  <c r="K89" i="1"/>
  <c r="M89" i="1" s="1"/>
  <c r="P67" i="1"/>
  <c r="N67" i="1"/>
  <c r="H91" i="1"/>
  <c r="J90" i="1"/>
  <c r="I68" i="1"/>
  <c r="H54" i="1"/>
  <c r="J54" i="1" s="1"/>
  <c r="L54" i="1" s="1"/>
  <c r="J27" i="1"/>
  <c r="L27" i="1" s="1"/>
  <c r="K45" i="1"/>
  <c r="M45" i="1" s="1"/>
  <c r="H22" i="1"/>
  <c r="L22" i="1" s="1"/>
  <c r="L25" i="1"/>
  <c r="H48" i="1"/>
  <c r="J47" i="1"/>
  <c r="H31" i="1"/>
  <c r="J30" i="1"/>
  <c r="L46" i="1"/>
  <c r="K46" i="1"/>
  <c r="M46" i="1" s="1"/>
  <c r="H58" i="1"/>
  <c r="J57" i="1"/>
  <c r="L57" i="1" s="1"/>
  <c r="H42" i="1"/>
  <c r="I23" i="3" l="1"/>
  <c r="O23" i="3" s="1"/>
  <c r="J44" i="3"/>
  <c r="K44" i="3" s="1"/>
  <c r="M44" i="3" s="1"/>
  <c r="J93" i="3"/>
  <c r="K93" i="3" s="1"/>
  <c r="M93" i="3" s="1"/>
  <c r="J90" i="3"/>
  <c r="K90" i="3" s="1"/>
  <c r="M90" i="3" s="1"/>
  <c r="K29" i="3"/>
  <c r="M29" i="3" s="1"/>
  <c r="L29" i="3"/>
  <c r="J91" i="3"/>
  <c r="I24" i="3"/>
  <c r="P22" i="3"/>
  <c r="N22" i="3"/>
  <c r="H53" i="3"/>
  <c r="K35" i="3"/>
  <c r="M35" i="3" s="1"/>
  <c r="L35" i="3"/>
  <c r="H48" i="3"/>
  <c r="J51" i="3"/>
  <c r="K31" i="3"/>
  <c r="M31" i="3" s="1"/>
  <c r="L31" i="3"/>
  <c r="K33" i="3"/>
  <c r="M33" i="3" s="1"/>
  <c r="L33" i="3"/>
  <c r="J50" i="3"/>
  <c r="J89" i="3"/>
  <c r="K32" i="3"/>
  <c r="M32" i="3" s="1"/>
  <c r="L32" i="3"/>
  <c r="J94" i="3"/>
  <c r="J92" i="3"/>
  <c r="K36" i="3"/>
  <c r="M36" i="3" s="1"/>
  <c r="L36" i="3"/>
  <c r="H54" i="3"/>
  <c r="F15" i="3"/>
  <c r="J49" i="3"/>
  <c r="K34" i="3"/>
  <c r="M34" i="3" s="1"/>
  <c r="L34" i="3"/>
  <c r="J29" i="2"/>
  <c r="F15" i="2"/>
  <c r="C39" i="2"/>
  <c r="N22" i="2"/>
  <c r="J23" i="2"/>
  <c r="L23" i="2" s="1"/>
  <c r="J24" i="2"/>
  <c r="L24" i="2" s="1"/>
  <c r="K89" i="2"/>
  <c r="M89" i="2" s="1"/>
  <c r="J45" i="2"/>
  <c r="K45" i="2" s="1"/>
  <c r="M45" i="2" s="1"/>
  <c r="M87" i="2"/>
  <c r="J44" i="2"/>
  <c r="L44" i="2" s="1"/>
  <c r="I23" i="2"/>
  <c r="O23" i="2" s="1"/>
  <c r="P23" i="2" s="1"/>
  <c r="L73" i="2"/>
  <c r="M73" i="2"/>
  <c r="J30" i="2"/>
  <c r="H59" i="2"/>
  <c r="H55" i="2"/>
  <c r="H56" i="2" s="1"/>
  <c r="H57" i="2" s="1"/>
  <c r="H58" i="2" s="1"/>
  <c r="J90" i="2"/>
  <c r="L90" i="2" s="1"/>
  <c r="H53" i="2"/>
  <c r="L88" i="2"/>
  <c r="M88" i="2"/>
  <c r="J91" i="2"/>
  <c r="H47" i="2"/>
  <c r="J46" i="2"/>
  <c r="M74" i="2"/>
  <c r="L74" i="2"/>
  <c r="L75" i="1"/>
  <c r="K75" i="1"/>
  <c r="M75" i="1" s="1"/>
  <c r="J76" i="1"/>
  <c r="H77" i="1"/>
  <c r="O68" i="1"/>
  <c r="I69" i="1"/>
  <c r="L90" i="1"/>
  <c r="K90" i="1"/>
  <c r="M90" i="1" s="1"/>
  <c r="J91" i="1"/>
  <c r="H92" i="1"/>
  <c r="I22" i="1"/>
  <c r="O22" i="1" s="1"/>
  <c r="H23" i="1"/>
  <c r="H32" i="1"/>
  <c r="J31" i="1"/>
  <c r="K47" i="1"/>
  <c r="M47" i="1" s="1"/>
  <c r="L47" i="1"/>
  <c r="K30" i="1"/>
  <c r="M30" i="1" s="1"/>
  <c r="L30" i="1"/>
  <c r="H49" i="1"/>
  <c r="J48" i="1"/>
  <c r="J58" i="1"/>
  <c r="L58" i="1" s="1"/>
  <c r="L93" i="3" l="1"/>
  <c r="L44" i="3"/>
  <c r="L90" i="3"/>
  <c r="K51" i="3"/>
  <c r="M51" i="3" s="1"/>
  <c r="L51" i="3"/>
  <c r="P23" i="3"/>
  <c r="N23" i="3"/>
  <c r="K92" i="3"/>
  <c r="M92" i="3" s="1"/>
  <c r="L92" i="3"/>
  <c r="K91" i="3"/>
  <c r="M91" i="3" s="1"/>
  <c r="L91" i="3"/>
  <c r="K94" i="3"/>
  <c r="M94" i="3" s="1"/>
  <c r="L94" i="3"/>
  <c r="J30" i="3"/>
  <c r="J45" i="3"/>
  <c r="O24" i="3"/>
  <c r="I25" i="3"/>
  <c r="K89" i="3"/>
  <c r="M89" i="3" s="1"/>
  <c r="L89" i="3"/>
  <c r="K49" i="3"/>
  <c r="M49" i="3" s="1"/>
  <c r="L49" i="3"/>
  <c r="K50" i="3"/>
  <c r="M50" i="3" s="1"/>
  <c r="L50" i="3"/>
  <c r="F16" i="3"/>
  <c r="F17" i="3" s="1"/>
  <c r="C40" i="3"/>
  <c r="H55" i="3" s="1"/>
  <c r="K30" i="2"/>
  <c r="M30" i="2" s="1"/>
  <c r="F16" i="2"/>
  <c r="C41" i="2" s="1"/>
  <c r="H88" i="2" s="1"/>
  <c r="C40" i="2"/>
  <c r="H86" i="2" s="1"/>
  <c r="N23" i="2"/>
  <c r="K90" i="2"/>
  <c r="M90" i="2" s="1"/>
  <c r="I24" i="2"/>
  <c r="O24" i="2" s="1"/>
  <c r="N24" i="2" s="1"/>
  <c r="L45" i="2"/>
  <c r="K44" i="2"/>
  <c r="M44" i="2" s="1"/>
  <c r="J57" i="2"/>
  <c r="L57" i="2" s="1"/>
  <c r="L30" i="2"/>
  <c r="J53" i="2"/>
  <c r="L53" i="2" s="1"/>
  <c r="J54" i="2"/>
  <c r="L54" i="2" s="1"/>
  <c r="J100" i="2"/>
  <c r="L100" i="2" s="1"/>
  <c r="J97" i="2"/>
  <c r="L97" i="2" s="1"/>
  <c r="J99" i="2"/>
  <c r="L99" i="2" s="1"/>
  <c r="J98" i="2"/>
  <c r="L98" i="2" s="1"/>
  <c r="J56" i="2"/>
  <c r="L56" i="2" s="1"/>
  <c r="J101" i="2"/>
  <c r="L101" i="2" s="1"/>
  <c r="J96" i="2"/>
  <c r="L96" i="2" s="1"/>
  <c r="J55" i="2"/>
  <c r="L55" i="2" s="1"/>
  <c r="K29" i="2"/>
  <c r="M29" i="2" s="1"/>
  <c r="L29" i="2"/>
  <c r="K91" i="2"/>
  <c r="M91" i="2" s="1"/>
  <c r="L91" i="2"/>
  <c r="K31" i="2"/>
  <c r="M31" i="2" s="1"/>
  <c r="L31" i="2"/>
  <c r="J32" i="2"/>
  <c r="H48" i="2"/>
  <c r="J47" i="2"/>
  <c r="M75" i="2"/>
  <c r="L75" i="2"/>
  <c r="J92" i="2"/>
  <c r="K46" i="2"/>
  <c r="M46" i="2" s="1"/>
  <c r="L46" i="2"/>
  <c r="J58" i="2"/>
  <c r="L58" i="2" s="1"/>
  <c r="J92" i="1"/>
  <c r="H93" i="1"/>
  <c r="L91" i="1"/>
  <c r="K91" i="1"/>
  <c r="M91" i="1" s="1"/>
  <c r="O69" i="1"/>
  <c r="I70" i="1"/>
  <c r="P68" i="1"/>
  <c r="N68" i="1"/>
  <c r="H78" i="1"/>
  <c r="J77" i="1"/>
  <c r="L76" i="1"/>
  <c r="K76" i="1"/>
  <c r="M76" i="1" s="1"/>
  <c r="P22" i="1"/>
  <c r="N22" i="1"/>
  <c r="L23" i="1"/>
  <c r="I23" i="1"/>
  <c r="O23" i="1" s="1"/>
  <c r="H24" i="1"/>
  <c r="H33" i="1"/>
  <c r="J32" i="1"/>
  <c r="K48" i="1"/>
  <c r="M48" i="1" s="1"/>
  <c r="L48" i="1"/>
  <c r="H50" i="1"/>
  <c r="J49" i="1"/>
  <c r="L31" i="1"/>
  <c r="K31" i="1"/>
  <c r="M31" i="1" s="1"/>
  <c r="P24" i="3" l="1"/>
  <c r="N24" i="3"/>
  <c r="O25" i="3"/>
  <c r="I26" i="3"/>
  <c r="K45" i="3"/>
  <c r="M45" i="3" s="1"/>
  <c r="L45" i="3"/>
  <c r="K30" i="3"/>
  <c r="M30" i="3" s="1"/>
  <c r="L30" i="3"/>
  <c r="C42" i="3"/>
  <c r="H59" i="3" s="1"/>
  <c r="J56" i="3" s="1"/>
  <c r="L56" i="3" s="1"/>
  <c r="C41" i="3"/>
  <c r="H57" i="3" s="1"/>
  <c r="J46" i="3"/>
  <c r="J87" i="2"/>
  <c r="L87" i="2" s="1"/>
  <c r="J85" i="2"/>
  <c r="L85" i="2" s="1"/>
  <c r="J86" i="2"/>
  <c r="L86" i="2" s="1"/>
  <c r="I25" i="2"/>
  <c r="I26" i="2" s="1"/>
  <c r="O26" i="2" s="1"/>
  <c r="P24" i="2"/>
  <c r="K32" i="2"/>
  <c r="M32" i="2" s="1"/>
  <c r="L32" i="2"/>
  <c r="K92" i="2"/>
  <c r="M92" i="2" s="1"/>
  <c r="L92" i="2"/>
  <c r="J33" i="2"/>
  <c r="K33" i="2" s="1"/>
  <c r="K47" i="2"/>
  <c r="M47" i="2" s="1"/>
  <c r="L47" i="2"/>
  <c r="M76" i="2"/>
  <c r="L76" i="2"/>
  <c r="J48" i="2"/>
  <c r="J93" i="2"/>
  <c r="K77" i="1"/>
  <c r="M77" i="1" s="1"/>
  <c r="L77" i="1"/>
  <c r="P69" i="1"/>
  <c r="N69" i="1"/>
  <c r="H79" i="1"/>
  <c r="J78" i="1"/>
  <c r="O70" i="1"/>
  <c r="I71" i="1"/>
  <c r="H94" i="1"/>
  <c r="J93" i="1"/>
  <c r="L92" i="1"/>
  <c r="K92" i="1"/>
  <c r="M92" i="1" s="1"/>
  <c r="I24" i="1"/>
  <c r="O24" i="1" s="1"/>
  <c r="I25" i="1"/>
  <c r="J24" i="1"/>
  <c r="L24" i="1" s="1"/>
  <c r="P23" i="1"/>
  <c r="N23" i="1"/>
  <c r="K49" i="1"/>
  <c r="M49" i="1" s="1"/>
  <c r="L49" i="1"/>
  <c r="K32" i="1"/>
  <c r="M32" i="1" s="1"/>
  <c r="L32" i="1"/>
  <c r="H34" i="1"/>
  <c r="J33" i="1"/>
  <c r="H51" i="1"/>
  <c r="J50" i="1"/>
  <c r="J55" i="3" l="1"/>
  <c r="L55" i="3" s="1"/>
  <c r="J53" i="3"/>
  <c r="L53" i="3" s="1"/>
  <c r="J98" i="3"/>
  <c r="L98" i="3" s="1"/>
  <c r="J54" i="3"/>
  <c r="L54" i="3" s="1"/>
  <c r="J96" i="3"/>
  <c r="L96" i="3" s="1"/>
  <c r="J57" i="3"/>
  <c r="L57" i="3" s="1"/>
  <c r="J97" i="3"/>
  <c r="L97" i="3" s="1"/>
  <c r="J100" i="3"/>
  <c r="L100" i="3" s="1"/>
  <c r="J101" i="3"/>
  <c r="L101" i="3" s="1"/>
  <c r="J99" i="3"/>
  <c r="L99" i="3" s="1"/>
  <c r="O26" i="3"/>
  <c r="I27" i="3"/>
  <c r="J47" i="3"/>
  <c r="P25" i="3"/>
  <c r="N25" i="3"/>
  <c r="H64" i="3" a="1"/>
  <c r="K46" i="3"/>
  <c r="M46" i="3" s="1"/>
  <c r="L46" i="3"/>
  <c r="I27" i="2"/>
  <c r="O25" i="2"/>
  <c r="K93" i="2"/>
  <c r="M93" i="2" s="1"/>
  <c r="L93" i="2"/>
  <c r="K48" i="2"/>
  <c r="M48" i="2" s="1"/>
  <c r="L48" i="2"/>
  <c r="M33" i="2"/>
  <c r="L33" i="2"/>
  <c r="J34" i="2"/>
  <c r="O27" i="2"/>
  <c r="I28" i="2"/>
  <c r="N26" i="2"/>
  <c r="P26" i="2"/>
  <c r="J49" i="2"/>
  <c r="J94" i="2"/>
  <c r="M77" i="2"/>
  <c r="L77" i="2"/>
  <c r="J94" i="1"/>
  <c r="L78" i="1"/>
  <c r="K78" i="1"/>
  <c r="M78" i="1" s="1"/>
  <c r="L93" i="1"/>
  <c r="K93" i="1"/>
  <c r="M93" i="1" s="1"/>
  <c r="O71" i="1"/>
  <c r="I72" i="1"/>
  <c r="P70" i="1"/>
  <c r="N70" i="1"/>
  <c r="J79" i="1"/>
  <c r="O25" i="1"/>
  <c r="I26" i="1"/>
  <c r="N24" i="1"/>
  <c r="P24" i="1"/>
  <c r="H35" i="1"/>
  <c r="J34" i="1"/>
  <c r="K50" i="1"/>
  <c r="M50" i="1" s="1"/>
  <c r="L50" i="1"/>
  <c r="J51" i="1"/>
  <c r="K33" i="1"/>
  <c r="M33" i="1" s="1"/>
  <c r="L33" i="1"/>
  <c r="J87" i="3" l="1"/>
  <c r="L87" i="3" s="1"/>
  <c r="I88" i="3"/>
  <c r="O88" i="3" s="1"/>
  <c r="N88" i="3" s="1"/>
  <c r="J86" i="3"/>
  <c r="L86" i="3" s="1"/>
  <c r="H64" i="3"/>
  <c r="O64" i="3" s="1"/>
  <c r="L65" i="3"/>
  <c r="I97" i="3"/>
  <c r="O97" i="3" s="1"/>
  <c r="I84" i="3"/>
  <c r="O84" i="3" s="1"/>
  <c r="I76" i="3"/>
  <c r="O76" i="3" s="1"/>
  <c r="I69" i="3"/>
  <c r="O69" i="3" s="1"/>
  <c r="I80" i="3"/>
  <c r="O80" i="3" s="1"/>
  <c r="I67" i="3"/>
  <c r="O67" i="3" s="1"/>
  <c r="I100" i="3"/>
  <c r="O100" i="3" s="1"/>
  <c r="I70" i="3"/>
  <c r="O70" i="3" s="1"/>
  <c r="I102" i="3"/>
  <c r="O102" i="3" s="1"/>
  <c r="I85" i="3"/>
  <c r="O85" i="3" s="1"/>
  <c r="P85" i="3" s="1"/>
  <c r="I87" i="3"/>
  <c r="O87" i="3" s="1"/>
  <c r="P87" i="3" s="1"/>
  <c r="I89" i="3"/>
  <c r="O89" i="3" s="1"/>
  <c r="I81" i="3"/>
  <c r="O81" i="3" s="1"/>
  <c r="I72" i="3"/>
  <c r="O72" i="3" s="1"/>
  <c r="I83" i="3"/>
  <c r="O83" i="3" s="1"/>
  <c r="I99" i="3"/>
  <c r="O99" i="3" s="1"/>
  <c r="I91" i="3"/>
  <c r="O91" i="3" s="1"/>
  <c r="I71" i="3"/>
  <c r="O71" i="3" s="1"/>
  <c r="I79" i="3"/>
  <c r="O79" i="3" s="1"/>
  <c r="I101" i="3"/>
  <c r="O101" i="3" s="1"/>
  <c r="I66" i="3"/>
  <c r="O66" i="3" s="1"/>
  <c r="I92" i="3"/>
  <c r="O92" i="3" s="1"/>
  <c r="I65" i="3"/>
  <c r="O65" i="3" s="1"/>
  <c r="I75" i="3"/>
  <c r="O75" i="3" s="1"/>
  <c r="I78" i="3"/>
  <c r="O78" i="3" s="1"/>
  <c r="I68" i="3"/>
  <c r="O68" i="3" s="1"/>
  <c r="I90" i="3"/>
  <c r="O90" i="3" s="1"/>
  <c r="I98" i="3"/>
  <c r="O98" i="3" s="1"/>
  <c r="I93" i="3"/>
  <c r="O93" i="3" s="1"/>
  <c r="I73" i="3"/>
  <c r="O73" i="3" s="1"/>
  <c r="I95" i="3"/>
  <c r="O95" i="3" s="1"/>
  <c r="I77" i="3"/>
  <c r="O77" i="3" s="1"/>
  <c r="I96" i="3"/>
  <c r="O96" i="3" s="1"/>
  <c r="I94" i="3"/>
  <c r="O94" i="3" s="1"/>
  <c r="I82" i="3"/>
  <c r="O82" i="3" s="1"/>
  <c r="I74" i="3"/>
  <c r="O74" i="3" s="1"/>
  <c r="I86" i="3"/>
  <c r="O86" i="3" s="1"/>
  <c r="P86" i="3" s="1"/>
  <c r="J85" i="3"/>
  <c r="L85" i="3" s="1"/>
  <c r="K47" i="3"/>
  <c r="M47" i="3" s="1"/>
  <c r="L47" i="3"/>
  <c r="J48" i="3"/>
  <c r="O27" i="3"/>
  <c r="I28" i="3"/>
  <c r="P26" i="3"/>
  <c r="N26" i="3"/>
  <c r="J58" i="3"/>
  <c r="L58" i="3" s="1"/>
  <c r="P25" i="2"/>
  <c r="N25" i="2"/>
  <c r="M78" i="2"/>
  <c r="L78" i="2"/>
  <c r="O28" i="2"/>
  <c r="I29" i="2"/>
  <c r="I30" i="2" s="1"/>
  <c r="K34" i="2"/>
  <c r="M34" i="2" s="1"/>
  <c r="L34" i="2"/>
  <c r="K49" i="2"/>
  <c r="M49" i="2" s="1"/>
  <c r="L49" i="2"/>
  <c r="J50" i="2"/>
  <c r="N27" i="2"/>
  <c r="P27" i="2"/>
  <c r="K94" i="2"/>
  <c r="M94" i="2" s="1"/>
  <c r="L94" i="2"/>
  <c r="J35" i="2"/>
  <c r="L79" i="1"/>
  <c r="K79" i="1"/>
  <c r="M79" i="1" s="1"/>
  <c r="O72" i="1"/>
  <c r="I73" i="1"/>
  <c r="P71" i="1"/>
  <c r="N71" i="1"/>
  <c r="L94" i="1"/>
  <c r="K94" i="1"/>
  <c r="M94" i="1" s="1"/>
  <c r="I27" i="1"/>
  <c r="O26" i="1"/>
  <c r="P25" i="1"/>
  <c r="N25" i="1"/>
  <c r="H36" i="1"/>
  <c r="J35" i="1"/>
  <c r="K34" i="1"/>
  <c r="M34" i="1" s="1"/>
  <c r="L34" i="1"/>
  <c r="K51" i="1"/>
  <c r="M51" i="1" s="1"/>
  <c r="L51" i="1"/>
  <c r="J66" i="3" l="1"/>
  <c r="L66" i="3" s="1"/>
  <c r="N66" i="3" s="1"/>
  <c r="J67" i="3"/>
  <c r="L67" i="3" s="1"/>
  <c r="N67" i="3" s="1"/>
  <c r="P88" i="3"/>
  <c r="N85" i="3"/>
  <c r="P66" i="3"/>
  <c r="L71" i="3"/>
  <c r="N71" i="3" s="1"/>
  <c r="K71" i="3"/>
  <c r="M71" i="3" s="1"/>
  <c r="P71" i="3" s="1"/>
  <c r="M82" i="3"/>
  <c r="P82" i="3" s="1"/>
  <c r="L82" i="3"/>
  <c r="N82" i="3" s="1"/>
  <c r="P101" i="3"/>
  <c r="N101" i="3"/>
  <c r="M81" i="3"/>
  <c r="P81" i="3" s="1"/>
  <c r="L81" i="3"/>
  <c r="N81" i="3" s="1"/>
  <c r="N77" i="3"/>
  <c r="P77" i="3"/>
  <c r="N95" i="3"/>
  <c r="P95" i="3"/>
  <c r="P73" i="3"/>
  <c r="N73" i="3"/>
  <c r="P76" i="3"/>
  <c r="N76" i="3"/>
  <c r="K72" i="3"/>
  <c r="M72" i="3" s="1"/>
  <c r="P72" i="3" s="1"/>
  <c r="L72" i="3"/>
  <c r="N72" i="3" s="1"/>
  <c r="N84" i="3"/>
  <c r="P84" i="3"/>
  <c r="P100" i="3"/>
  <c r="N100" i="3"/>
  <c r="P98" i="3"/>
  <c r="N98" i="3"/>
  <c r="N78" i="3"/>
  <c r="P78" i="3"/>
  <c r="P97" i="3"/>
  <c r="N97" i="3"/>
  <c r="P64" i="3"/>
  <c r="N64" i="3"/>
  <c r="P102" i="3"/>
  <c r="N102" i="3"/>
  <c r="N91" i="3"/>
  <c r="P91" i="3"/>
  <c r="N86" i="3"/>
  <c r="P96" i="3"/>
  <c r="N96" i="3"/>
  <c r="P93" i="3"/>
  <c r="N93" i="3"/>
  <c r="P99" i="3"/>
  <c r="N99" i="3"/>
  <c r="P90" i="3"/>
  <c r="N90" i="3"/>
  <c r="P74" i="3"/>
  <c r="N74" i="3"/>
  <c r="K69" i="3"/>
  <c r="M69" i="3" s="1"/>
  <c r="P69" i="3" s="1"/>
  <c r="L69" i="3"/>
  <c r="N69" i="3" s="1"/>
  <c r="N65" i="3"/>
  <c r="P65" i="3"/>
  <c r="K70" i="3"/>
  <c r="M70" i="3" s="1"/>
  <c r="P70" i="3" s="1"/>
  <c r="L70" i="3"/>
  <c r="N70" i="3" s="1"/>
  <c r="P67" i="3"/>
  <c r="N68" i="3"/>
  <c r="P68" i="3"/>
  <c r="N75" i="3"/>
  <c r="P75" i="3"/>
  <c r="P89" i="3"/>
  <c r="N89" i="3"/>
  <c r="P94" i="3"/>
  <c r="N94" i="3"/>
  <c r="N92" i="3"/>
  <c r="P92" i="3"/>
  <c r="N87" i="3"/>
  <c r="P27" i="3"/>
  <c r="N27" i="3"/>
  <c r="O28" i="3"/>
  <c r="I29" i="3"/>
  <c r="K48" i="3"/>
  <c r="M48" i="3" s="1"/>
  <c r="L48" i="3"/>
  <c r="I67" i="2"/>
  <c r="O67" i="2" s="1"/>
  <c r="P67" i="2" s="1"/>
  <c r="I79" i="2"/>
  <c r="I91" i="2"/>
  <c r="I72" i="2"/>
  <c r="O72" i="2" s="1"/>
  <c r="I89" i="2"/>
  <c r="J81" i="2"/>
  <c r="I80" i="2"/>
  <c r="I92" i="2"/>
  <c r="I101" i="2"/>
  <c r="J82" i="2"/>
  <c r="I81" i="2"/>
  <c r="I93" i="2"/>
  <c r="I78" i="2"/>
  <c r="J83" i="2"/>
  <c r="I82" i="2"/>
  <c r="I94" i="2"/>
  <c r="L80" i="2"/>
  <c r="I83" i="2"/>
  <c r="I95" i="2"/>
  <c r="I77" i="2"/>
  <c r="J70" i="2"/>
  <c r="I84" i="2"/>
  <c r="I96" i="2"/>
  <c r="I100" i="2"/>
  <c r="I102" i="2"/>
  <c r="J71" i="2"/>
  <c r="I73" i="2"/>
  <c r="O73" i="2" s="1"/>
  <c r="I85" i="2"/>
  <c r="I97" i="2"/>
  <c r="J72" i="2"/>
  <c r="K72" i="2" s="1"/>
  <c r="I74" i="2"/>
  <c r="O74" i="2" s="1"/>
  <c r="N74" i="2" s="1"/>
  <c r="I86" i="2"/>
  <c r="I98" i="2"/>
  <c r="I88" i="2"/>
  <c r="J69" i="2"/>
  <c r="I75" i="2"/>
  <c r="O75" i="2" s="1"/>
  <c r="I87" i="2"/>
  <c r="I99" i="2"/>
  <c r="I76" i="2"/>
  <c r="I90" i="2"/>
  <c r="I64" i="2"/>
  <c r="O64" i="2" s="1"/>
  <c r="I70" i="2"/>
  <c r="O70" i="2" s="1"/>
  <c r="I68" i="2"/>
  <c r="O68" i="2" s="1"/>
  <c r="I65" i="2"/>
  <c r="O65" i="2" s="1"/>
  <c r="I71" i="2"/>
  <c r="O71" i="2" s="1"/>
  <c r="I69" i="2"/>
  <c r="O69" i="2" s="1"/>
  <c r="I66" i="2"/>
  <c r="O66" i="2" s="1"/>
  <c r="M79" i="2"/>
  <c r="L79" i="2"/>
  <c r="J36" i="2"/>
  <c r="O29" i="2"/>
  <c r="P28" i="2"/>
  <c r="N28" i="2"/>
  <c r="K50" i="2"/>
  <c r="M50" i="2" s="1"/>
  <c r="L50" i="2"/>
  <c r="J51" i="2"/>
  <c r="K35" i="2"/>
  <c r="M35" i="2" s="1"/>
  <c r="L35" i="2"/>
  <c r="O73" i="1"/>
  <c r="I74" i="1"/>
  <c r="N72" i="1"/>
  <c r="P72" i="1"/>
  <c r="N26" i="1"/>
  <c r="P26" i="1"/>
  <c r="I28" i="1"/>
  <c r="O27" i="1"/>
  <c r="L35" i="1"/>
  <c r="K35" i="1"/>
  <c r="M35" i="1" s="1"/>
  <c r="J36" i="1"/>
  <c r="O29" i="3" l="1"/>
  <c r="I30" i="3"/>
  <c r="P28" i="3"/>
  <c r="N28" i="3"/>
  <c r="L69" i="2"/>
  <c r="K69" i="2"/>
  <c r="M69" i="2" s="1"/>
  <c r="L82" i="2"/>
  <c r="K82" i="2"/>
  <c r="M82" i="2" s="1"/>
  <c r="L70" i="2"/>
  <c r="K70" i="2"/>
  <c r="M70" i="2" s="1"/>
  <c r="P70" i="2" s="1"/>
  <c r="L81" i="2"/>
  <c r="K81" i="2"/>
  <c r="M81" i="2" s="1"/>
  <c r="L71" i="2"/>
  <c r="K71" i="2"/>
  <c r="M71" i="2" s="1"/>
  <c r="P71" i="2" s="1"/>
  <c r="L83" i="2"/>
  <c r="K83" i="2"/>
  <c r="M83" i="2" s="1"/>
  <c r="P74" i="2"/>
  <c r="M72" i="2"/>
  <c r="L72" i="2"/>
  <c r="N72" i="2" s="1"/>
  <c r="J67" i="2"/>
  <c r="L67" i="2" s="1"/>
  <c r="N67" i="2" s="1"/>
  <c r="J66" i="2"/>
  <c r="L66" i="2" s="1"/>
  <c r="N66" i="2" s="1"/>
  <c r="J65" i="2"/>
  <c r="N69" i="2"/>
  <c r="P69" i="2"/>
  <c r="P68" i="2"/>
  <c r="N68" i="2"/>
  <c r="P72" i="2"/>
  <c r="N71" i="2"/>
  <c r="P66" i="2"/>
  <c r="N70" i="2"/>
  <c r="P65" i="2"/>
  <c r="P73" i="2"/>
  <c r="N73" i="2"/>
  <c r="N64" i="2"/>
  <c r="P64" i="2"/>
  <c r="K51" i="2"/>
  <c r="M51" i="2" s="1"/>
  <c r="L51" i="2"/>
  <c r="O30" i="2"/>
  <c r="I31" i="2"/>
  <c r="O76" i="2"/>
  <c r="P29" i="2"/>
  <c r="N29" i="2"/>
  <c r="N75" i="2"/>
  <c r="P75" i="2"/>
  <c r="K36" i="2"/>
  <c r="M36" i="2" s="1"/>
  <c r="L36" i="2"/>
  <c r="O74" i="1"/>
  <c r="I75" i="1"/>
  <c r="P73" i="1"/>
  <c r="N73" i="1"/>
  <c r="N27" i="1"/>
  <c r="P27" i="1"/>
  <c r="I29" i="1"/>
  <c r="O28" i="1"/>
  <c r="K36" i="1"/>
  <c r="M36" i="1" s="1"/>
  <c r="L36" i="1"/>
  <c r="O30" i="3" l="1"/>
  <c r="I31" i="3"/>
  <c r="P29" i="3"/>
  <c r="N29" i="3"/>
  <c r="L65" i="2"/>
  <c r="N65" i="2" s="1"/>
  <c r="O77" i="2"/>
  <c r="N76" i="2"/>
  <c r="P76" i="2"/>
  <c r="O31" i="2"/>
  <c r="I32" i="2"/>
  <c r="N30" i="2"/>
  <c r="P30" i="2"/>
  <c r="O75" i="1"/>
  <c r="I76" i="1"/>
  <c r="N74" i="1"/>
  <c r="P74" i="1"/>
  <c r="P28" i="1"/>
  <c r="N28" i="1"/>
  <c r="I30" i="1"/>
  <c r="O29" i="1"/>
  <c r="I32" i="3" l="1"/>
  <c r="O31" i="3"/>
  <c r="N30" i="3"/>
  <c r="P30" i="3"/>
  <c r="O32" i="2"/>
  <c r="I33" i="2"/>
  <c r="N31" i="2"/>
  <c r="P31" i="2"/>
  <c r="O78" i="2"/>
  <c r="P77" i="2"/>
  <c r="N77" i="2"/>
  <c r="O76" i="1"/>
  <c r="I77" i="1"/>
  <c r="P75" i="1"/>
  <c r="N75" i="1"/>
  <c r="N29" i="1"/>
  <c r="P29" i="1"/>
  <c r="O30" i="1"/>
  <c r="I31" i="1"/>
  <c r="P31" i="3" l="1"/>
  <c r="N31" i="3"/>
  <c r="O32" i="3"/>
  <c r="I33" i="3"/>
  <c r="O33" i="2"/>
  <c r="I34" i="2"/>
  <c r="N78" i="2"/>
  <c r="P78" i="2"/>
  <c r="P32" i="2"/>
  <c r="N32" i="2"/>
  <c r="O79" i="2"/>
  <c r="O77" i="1"/>
  <c r="I78" i="1"/>
  <c r="N76" i="1"/>
  <c r="P76" i="1"/>
  <c r="O31" i="1"/>
  <c r="I32" i="1"/>
  <c r="N30" i="1"/>
  <c r="P30" i="1"/>
  <c r="I34" i="3" l="1"/>
  <c r="O33" i="3"/>
  <c r="P32" i="3"/>
  <c r="N32" i="3"/>
  <c r="N33" i="2"/>
  <c r="P33" i="2"/>
  <c r="O80" i="2"/>
  <c r="N79" i="2"/>
  <c r="P79" i="2"/>
  <c r="O34" i="2"/>
  <c r="I35" i="2"/>
  <c r="O78" i="1"/>
  <c r="I79" i="1"/>
  <c r="P77" i="1"/>
  <c r="N77" i="1"/>
  <c r="O32" i="1"/>
  <c r="I33" i="1"/>
  <c r="N31" i="1"/>
  <c r="P31" i="1"/>
  <c r="N33" i="3" l="1"/>
  <c r="P33" i="3"/>
  <c r="O34" i="3"/>
  <c r="I35" i="3"/>
  <c r="O81" i="2"/>
  <c r="P80" i="2"/>
  <c r="N80" i="2"/>
  <c r="O35" i="2"/>
  <c r="I36" i="2"/>
  <c r="N34" i="2"/>
  <c r="P34" i="2"/>
  <c r="O79" i="1"/>
  <c r="I80" i="1"/>
  <c r="P78" i="1"/>
  <c r="N78" i="1"/>
  <c r="I34" i="1"/>
  <c r="O33" i="1"/>
  <c r="N32" i="1"/>
  <c r="P32" i="1"/>
  <c r="I36" i="3" l="1"/>
  <c r="O35" i="3"/>
  <c r="N34" i="3"/>
  <c r="P34" i="3"/>
  <c r="P35" i="2"/>
  <c r="N35" i="2"/>
  <c r="O82" i="2"/>
  <c r="O36" i="2"/>
  <c r="I37" i="2"/>
  <c r="P81" i="2"/>
  <c r="N81" i="2"/>
  <c r="O80" i="1"/>
  <c r="I81" i="1"/>
  <c r="P79" i="1"/>
  <c r="N79" i="1"/>
  <c r="N33" i="1"/>
  <c r="P33" i="1"/>
  <c r="O34" i="1"/>
  <c r="I35" i="1"/>
  <c r="N35" i="3" l="1"/>
  <c r="P35" i="3"/>
  <c r="O36" i="3"/>
  <c r="I37" i="3"/>
  <c r="O37" i="2"/>
  <c r="I38" i="2"/>
  <c r="O83" i="2"/>
  <c r="N82" i="2"/>
  <c r="P82" i="2"/>
  <c r="N36" i="2"/>
  <c r="P36" i="2"/>
  <c r="O81" i="1"/>
  <c r="I82" i="1"/>
  <c r="P80" i="1"/>
  <c r="N80" i="1"/>
  <c r="O35" i="1"/>
  <c r="I36" i="1"/>
  <c r="P34" i="1"/>
  <c r="N34" i="1"/>
  <c r="O37" i="3" l="1"/>
  <c r="I38" i="3"/>
  <c r="P36" i="3"/>
  <c r="N36" i="3"/>
  <c r="P83" i="2"/>
  <c r="N83" i="2"/>
  <c r="O84" i="2"/>
  <c r="O38" i="2"/>
  <c r="I39" i="2"/>
  <c r="N37" i="2"/>
  <c r="P37" i="2"/>
  <c r="O82" i="1"/>
  <c r="I83" i="1"/>
  <c r="P81" i="1"/>
  <c r="N81" i="1"/>
  <c r="I37" i="1"/>
  <c r="O36" i="1"/>
  <c r="P35" i="1"/>
  <c r="N35" i="1"/>
  <c r="O38" i="3" l="1"/>
  <c r="I39" i="3"/>
  <c r="N37" i="3"/>
  <c r="P37" i="3"/>
  <c r="O39" i="2"/>
  <c r="I40" i="2"/>
  <c r="P38" i="2"/>
  <c r="N38" i="2"/>
  <c r="O85" i="2"/>
  <c r="N84" i="2"/>
  <c r="P84" i="2"/>
  <c r="O83" i="1"/>
  <c r="I84" i="1"/>
  <c r="N82" i="1"/>
  <c r="P82" i="1"/>
  <c r="O37" i="1"/>
  <c r="I38" i="1"/>
  <c r="N36" i="1"/>
  <c r="P36" i="1"/>
  <c r="O39" i="3" l="1"/>
  <c r="I40" i="3"/>
  <c r="P38" i="3"/>
  <c r="N38" i="3"/>
  <c r="O86" i="2"/>
  <c r="P85" i="2"/>
  <c r="N85" i="2"/>
  <c r="O40" i="2"/>
  <c r="I41" i="2"/>
  <c r="P39" i="2"/>
  <c r="N39" i="2"/>
  <c r="O84" i="1"/>
  <c r="I85" i="1"/>
  <c r="P83" i="1"/>
  <c r="N83" i="1"/>
  <c r="I39" i="1"/>
  <c r="O38" i="1"/>
  <c r="P37" i="1"/>
  <c r="N37" i="1"/>
  <c r="O40" i="3" l="1"/>
  <c r="I41" i="3"/>
  <c r="P39" i="3"/>
  <c r="N39" i="3"/>
  <c r="O41" i="2"/>
  <c r="I42" i="2"/>
  <c r="N40" i="2"/>
  <c r="P40" i="2"/>
  <c r="O87" i="2"/>
  <c r="N86" i="2"/>
  <c r="P86" i="2"/>
  <c r="O85" i="1"/>
  <c r="I86" i="1"/>
  <c r="P84" i="1"/>
  <c r="N84" i="1"/>
  <c r="P38" i="1"/>
  <c r="N38" i="1"/>
  <c r="I40" i="1"/>
  <c r="O39" i="1"/>
  <c r="O41" i="3" l="1"/>
  <c r="I42" i="3"/>
  <c r="P40" i="3"/>
  <c r="N40" i="3"/>
  <c r="O88" i="2"/>
  <c r="N87" i="2"/>
  <c r="P87" i="2"/>
  <c r="O42" i="2"/>
  <c r="I43" i="2"/>
  <c r="N41" i="2"/>
  <c r="P41" i="2"/>
  <c r="O86" i="1"/>
  <c r="I87" i="1"/>
  <c r="P85" i="1"/>
  <c r="N85" i="1"/>
  <c r="O40" i="1"/>
  <c r="I41" i="1"/>
  <c r="N39" i="1"/>
  <c r="P39" i="1"/>
  <c r="O42" i="3" l="1"/>
  <c r="I43" i="3"/>
  <c r="N41" i="3"/>
  <c r="P41" i="3"/>
  <c r="O43" i="2"/>
  <c r="I44" i="2"/>
  <c r="P42" i="2"/>
  <c r="N42" i="2"/>
  <c r="O89" i="2"/>
  <c r="N88" i="2"/>
  <c r="P88" i="2"/>
  <c r="O87" i="1"/>
  <c r="I88" i="1"/>
  <c r="P86" i="1"/>
  <c r="N86" i="1"/>
  <c r="O41" i="1"/>
  <c r="I42" i="1"/>
  <c r="N40" i="1"/>
  <c r="P40" i="1"/>
  <c r="O43" i="3" l="1"/>
  <c r="I44" i="3"/>
  <c r="P42" i="3"/>
  <c r="N42" i="3"/>
  <c r="O90" i="2"/>
  <c r="P89" i="2"/>
  <c r="N89" i="2"/>
  <c r="O44" i="2"/>
  <c r="I45" i="2"/>
  <c r="P43" i="2"/>
  <c r="N43" i="2"/>
  <c r="O88" i="1"/>
  <c r="I89" i="1"/>
  <c r="P87" i="1"/>
  <c r="N87" i="1"/>
  <c r="O42" i="1"/>
  <c r="I43" i="1"/>
  <c r="P41" i="1"/>
  <c r="N41" i="1"/>
  <c r="O44" i="3" l="1"/>
  <c r="I45" i="3"/>
  <c r="P43" i="3"/>
  <c r="N43" i="3"/>
  <c r="O45" i="2"/>
  <c r="I46" i="2"/>
  <c r="N44" i="2"/>
  <c r="P44" i="2"/>
  <c r="O91" i="2"/>
  <c r="P90" i="2"/>
  <c r="N90" i="2"/>
  <c r="O89" i="1"/>
  <c r="I90" i="1"/>
  <c r="N88" i="1"/>
  <c r="P88" i="1"/>
  <c r="O43" i="1"/>
  <c r="I44" i="1"/>
  <c r="N42" i="1"/>
  <c r="P42" i="1"/>
  <c r="O45" i="3" l="1"/>
  <c r="I46" i="3"/>
  <c r="P44" i="3"/>
  <c r="N44" i="3"/>
  <c r="O92" i="2"/>
  <c r="N91" i="2"/>
  <c r="P91" i="2"/>
  <c r="O46" i="2"/>
  <c r="I47" i="2"/>
  <c r="N45" i="2"/>
  <c r="P45" i="2"/>
  <c r="O90" i="1"/>
  <c r="I91" i="1"/>
  <c r="P89" i="1"/>
  <c r="N89" i="1"/>
  <c r="O44" i="1"/>
  <c r="I45" i="1"/>
  <c r="P43" i="1"/>
  <c r="N43" i="1"/>
  <c r="O46" i="3" l="1"/>
  <c r="I47" i="3"/>
  <c r="P45" i="3"/>
  <c r="N45" i="3"/>
  <c r="O47" i="2"/>
  <c r="I48" i="2"/>
  <c r="P46" i="2"/>
  <c r="N46" i="2"/>
  <c r="O93" i="2"/>
  <c r="N92" i="2"/>
  <c r="P92" i="2"/>
  <c r="O91" i="1"/>
  <c r="I92" i="1"/>
  <c r="P90" i="1"/>
  <c r="N90" i="1"/>
  <c r="O45" i="1"/>
  <c r="I46" i="1"/>
  <c r="P44" i="1"/>
  <c r="N44" i="1"/>
  <c r="O47" i="3" l="1"/>
  <c r="I48" i="3"/>
  <c r="P46" i="3"/>
  <c r="N46" i="3"/>
  <c r="O94" i="2"/>
  <c r="P93" i="2"/>
  <c r="N93" i="2"/>
  <c r="O48" i="2"/>
  <c r="I49" i="2"/>
  <c r="P47" i="2"/>
  <c r="N47" i="2"/>
  <c r="O92" i="1"/>
  <c r="I93" i="1"/>
  <c r="P91" i="1"/>
  <c r="N91" i="1"/>
  <c r="O46" i="1"/>
  <c r="I47" i="1"/>
  <c r="N45" i="1"/>
  <c r="P45" i="1"/>
  <c r="O48" i="3" l="1"/>
  <c r="I49" i="3"/>
  <c r="P47" i="3"/>
  <c r="N47" i="3"/>
  <c r="O49" i="2"/>
  <c r="I50" i="2"/>
  <c r="N48" i="2"/>
  <c r="P48" i="2"/>
  <c r="O95" i="2"/>
  <c r="P94" i="2"/>
  <c r="N94" i="2"/>
  <c r="O93" i="1"/>
  <c r="I94" i="1"/>
  <c r="N92" i="1"/>
  <c r="P92" i="1"/>
  <c r="O47" i="1"/>
  <c r="I48" i="1"/>
  <c r="N46" i="1"/>
  <c r="P46" i="1"/>
  <c r="I50" i="3" l="1"/>
  <c r="O49" i="3"/>
  <c r="P48" i="3"/>
  <c r="N48" i="3"/>
  <c r="O96" i="2"/>
  <c r="P95" i="2"/>
  <c r="N95" i="2"/>
  <c r="O50" i="2"/>
  <c r="I51" i="2"/>
  <c r="N49" i="2"/>
  <c r="P49" i="2"/>
  <c r="O94" i="1"/>
  <c r="I95" i="1"/>
  <c r="P93" i="1"/>
  <c r="N93" i="1"/>
  <c r="O48" i="1"/>
  <c r="I49" i="1"/>
  <c r="N47" i="1"/>
  <c r="P47" i="1"/>
  <c r="N49" i="3" l="1"/>
  <c r="P49" i="3"/>
  <c r="O50" i="3"/>
  <c r="I51" i="3"/>
  <c r="O51" i="2"/>
  <c r="I52" i="2"/>
  <c r="P50" i="2"/>
  <c r="N50" i="2"/>
  <c r="O97" i="2"/>
  <c r="P96" i="2"/>
  <c r="N96" i="2"/>
  <c r="O95" i="1"/>
  <c r="I96" i="1"/>
  <c r="P94" i="1"/>
  <c r="N94" i="1"/>
  <c r="O49" i="1"/>
  <c r="I50" i="1"/>
  <c r="N48" i="1"/>
  <c r="P48" i="1"/>
  <c r="O51" i="3" l="1"/>
  <c r="I52" i="3"/>
  <c r="P50" i="3"/>
  <c r="N50" i="3"/>
  <c r="O98" i="2"/>
  <c r="P97" i="2"/>
  <c r="N97" i="2"/>
  <c r="O52" i="2"/>
  <c r="I53" i="2"/>
  <c r="P51" i="2"/>
  <c r="N51" i="2"/>
  <c r="O96" i="1"/>
  <c r="I97" i="1"/>
  <c r="P95" i="1"/>
  <c r="N95" i="1"/>
  <c r="O50" i="1"/>
  <c r="I51" i="1"/>
  <c r="N49" i="1"/>
  <c r="P49" i="1"/>
  <c r="N51" i="3" l="1"/>
  <c r="P51" i="3"/>
  <c r="O52" i="3"/>
  <c r="I53" i="3"/>
  <c r="O53" i="2"/>
  <c r="I54" i="2"/>
  <c r="N52" i="2"/>
  <c r="P52" i="2"/>
  <c r="O99" i="2"/>
  <c r="N98" i="2"/>
  <c r="P98" i="2"/>
  <c r="O97" i="1"/>
  <c r="I98" i="1"/>
  <c r="P96" i="1"/>
  <c r="N96" i="1"/>
  <c r="O51" i="1"/>
  <c r="I52" i="1"/>
  <c r="P50" i="1"/>
  <c r="N50" i="1"/>
  <c r="O53" i="3" l="1"/>
  <c r="I54" i="3"/>
  <c r="N52" i="3"/>
  <c r="P52" i="3"/>
  <c r="O100" i="2"/>
  <c r="P99" i="2"/>
  <c r="N99" i="2"/>
  <c r="O54" i="2"/>
  <c r="I55" i="2"/>
  <c r="P53" i="2"/>
  <c r="N53" i="2"/>
  <c r="O98" i="1"/>
  <c r="I99" i="1"/>
  <c r="P97" i="1"/>
  <c r="N97" i="1"/>
  <c r="O52" i="1"/>
  <c r="I53" i="1"/>
  <c r="P51" i="1"/>
  <c r="N51" i="1"/>
  <c r="O54" i="3" l="1"/>
  <c r="I55" i="3"/>
  <c r="P53" i="3"/>
  <c r="N53" i="3"/>
  <c r="O55" i="2"/>
  <c r="I56" i="2"/>
  <c r="P54" i="2"/>
  <c r="N54" i="2"/>
  <c r="O101" i="2"/>
  <c r="O102" i="2"/>
  <c r="P100" i="2"/>
  <c r="N100" i="2"/>
  <c r="O99" i="1"/>
  <c r="I100" i="1"/>
  <c r="P98" i="1"/>
  <c r="N98" i="1"/>
  <c r="I54" i="1"/>
  <c r="O53" i="1"/>
  <c r="P52" i="1"/>
  <c r="N52" i="1"/>
  <c r="O55" i="3" l="1"/>
  <c r="I56" i="3"/>
  <c r="P54" i="3"/>
  <c r="N54" i="3"/>
  <c r="P102" i="2"/>
  <c r="N102" i="2"/>
  <c r="N101" i="2"/>
  <c r="P101" i="2"/>
  <c r="O56" i="2"/>
  <c r="I57" i="2"/>
  <c r="P55" i="2"/>
  <c r="N55" i="2"/>
  <c r="O100" i="1"/>
  <c r="I101" i="1"/>
  <c r="P99" i="1"/>
  <c r="N99" i="1"/>
  <c r="N53" i="1"/>
  <c r="P53" i="1"/>
  <c r="O54" i="1"/>
  <c r="I55" i="1"/>
  <c r="N55" i="3" l="1"/>
  <c r="P55" i="3"/>
  <c r="O56" i="3"/>
  <c r="I57" i="3"/>
  <c r="O57" i="2"/>
  <c r="I58" i="2"/>
  <c r="N56" i="2"/>
  <c r="P56" i="2"/>
  <c r="O101" i="1"/>
  <c r="I102" i="1"/>
  <c r="O102" i="1" s="1"/>
  <c r="P100" i="1"/>
  <c r="N100" i="1"/>
  <c r="O55" i="1"/>
  <c r="I56" i="1"/>
  <c r="N54" i="1"/>
  <c r="P54" i="1"/>
  <c r="P56" i="3" l="1"/>
  <c r="N56" i="3"/>
  <c r="O57" i="3"/>
  <c r="I58" i="3"/>
  <c r="O58" i="2"/>
  <c r="I59" i="2"/>
  <c r="O59" i="2" s="1"/>
  <c r="P57" i="2"/>
  <c r="N57" i="2"/>
  <c r="P102" i="1"/>
  <c r="N102" i="1"/>
  <c r="P101" i="1"/>
  <c r="N101" i="1"/>
  <c r="O56" i="1"/>
  <c r="I57" i="1"/>
  <c r="N55" i="1"/>
  <c r="P55" i="1"/>
  <c r="O58" i="3" l="1"/>
  <c r="I59" i="3"/>
  <c r="O59" i="3" s="1"/>
  <c r="N57" i="3"/>
  <c r="P57" i="3"/>
  <c r="N59" i="2"/>
  <c r="P59" i="2"/>
  <c r="P58" i="2"/>
  <c r="N58" i="2"/>
  <c r="O57" i="1"/>
  <c r="I58" i="1"/>
  <c r="P56" i="1"/>
  <c r="N56" i="1"/>
  <c r="P59" i="3" l="1"/>
  <c r="N59" i="3"/>
  <c r="N58" i="3"/>
  <c r="P58" i="3"/>
  <c r="O58" i="1"/>
  <c r="I59" i="1"/>
  <c r="O59" i="1" s="1"/>
  <c r="N57" i="1"/>
  <c r="P57" i="1"/>
  <c r="N59" i="1" l="1"/>
  <c r="P59" i="1"/>
  <c r="P58" i="1"/>
  <c r="N58" i="1"/>
  <c r="L80" i="3" l="1"/>
  <c r="N80" i="3"/>
  <c r="M80" i="3"/>
  <c r="P80" i="3" s="1"/>
  <c r="K83" i="3"/>
  <c r="M83" i="3" s="1"/>
  <c r="P83" i="3" s="1"/>
  <c r="N83" i="3"/>
  <c r="J83" i="3"/>
  <c r="L83" i="3"/>
  <c r="N79" i="3"/>
  <c r="L79" i="3"/>
  <c r="M79" i="3"/>
  <c r="P7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<sst xmlns="http://schemas.openxmlformats.org/spreadsheetml/2006/main" count="247" uniqueCount="56">
  <si>
    <t>H</t>
  </si>
  <si>
    <t>G=ET</t>
  </si>
  <si>
    <t>F</t>
  </si>
  <si>
    <t>E=CE</t>
  </si>
  <si>
    <t>D=EC</t>
  </si>
  <si>
    <t>C</t>
  </si>
  <si>
    <t>B=TE</t>
  </si>
  <si>
    <t>A</t>
  </si>
  <si>
    <t>ABSCISAS PUNTOS DE INTERES</t>
  </si>
  <si>
    <t>LT</t>
  </si>
  <si>
    <t>N</t>
  </si>
  <si>
    <t>m recalculado %</t>
  </si>
  <si>
    <t>Lt Diseño</t>
  </si>
  <si>
    <t>Le</t>
  </si>
  <si>
    <t>Lt</t>
  </si>
  <si>
    <t>COTA B INT</t>
  </si>
  <si>
    <t>COTA EJE</t>
  </si>
  <si>
    <t>COTA B EXT</t>
  </si>
  <si>
    <t>DIF N INT</t>
  </si>
  <si>
    <t>DIF N EXT</t>
  </si>
  <si>
    <t>PERALTE B INT</t>
  </si>
  <si>
    <t>PERALTE B EXT</t>
  </si>
  <si>
    <t>ABSCISA</t>
  </si>
  <si>
    <t>PUNTO</t>
  </si>
  <si>
    <t>Lt min</t>
  </si>
  <si>
    <t>Lt max</t>
  </si>
  <si>
    <t>Bombeo%</t>
  </si>
  <si>
    <t>Concreto asfaltico</t>
  </si>
  <si>
    <t>SUPERFICIE DE RODADURA</t>
  </si>
  <si>
    <t>m min</t>
  </si>
  <si>
    <t>PI</t>
  </si>
  <si>
    <t>m max</t>
  </si>
  <si>
    <t>ET</t>
  </si>
  <si>
    <t>CE</t>
  </si>
  <si>
    <t>EC</t>
  </si>
  <si>
    <t>TE</t>
  </si>
  <si>
    <t>PL</t>
  </si>
  <si>
    <t>emax %</t>
  </si>
  <si>
    <t>a</t>
  </si>
  <si>
    <t>Ac</t>
  </si>
  <si>
    <t>Te</t>
  </si>
  <si>
    <t>Lc</t>
  </si>
  <si>
    <t>Ve</t>
  </si>
  <si>
    <t>ECE</t>
  </si>
  <si>
    <t>PERALTE</t>
  </si>
  <si>
    <t>COTA PI</t>
  </si>
  <si>
    <t>B</t>
  </si>
  <si>
    <t>D=PC</t>
  </si>
  <si>
    <t>E</t>
  </si>
  <si>
    <t>G=PT</t>
  </si>
  <si>
    <t>COTA PC</t>
  </si>
  <si>
    <t>T</t>
  </si>
  <si>
    <t>I</t>
  </si>
  <si>
    <t>J</t>
  </si>
  <si>
    <t>D=TE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</si>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</sst>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\K0\+000.000"/>
    <numFmt numFmtId="166" formatCode="0.0"/>
    <numFmt numFmtId="167" formatCode="\K0\+000.0000"/>
    <numFmt numFmtId="168" formatCode="0.0000"/>
  </numFmts>
  <fonts count="2" x14ac:knownFonts="1">
    <font>
      <sz val="12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168" fontId="1" fillId="0" borderId="22" xfId="0" applyNumberFormat="1" applyFont="1" applyBorder="1" applyAlignment="1">
      <alignment horizontal="center" vertical="center"/>
    </xf>
    <xf numFmtId="168" fontId="1" fillId="0" borderId="23" xfId="0" applyNumberFormat="1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68" fontId="1" fillId="0" borderId="10" xfId="0" applyNumberFormat="1" applyFont="1" applyBorder="1" applyAlignment="1">
      <alignment horizontal="center" vertical="center"/>
    </xf>
    <xf numFmtId="168" fontId="1" fillId="0" borderId="6" xfId="0" applyNumberFormat="1" applyFont="1" applyBorder="1" applyAlignment="1">
      <alignment horizontal="center" vertical="center"/>
    </xf>
    <xf numFmtId="168" fontId="1" fillId="0" borderId="7" xfId="0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8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67" fontId="1" fillId="0" borderId="15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7" fontId="1" fillId="0" borderId="10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8" fontId="1" fillId="0" borderId="15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167" fontId="1" fillId="0" borderId="23" xfId="0" applyNumberFormat="1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7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 baseline="0">
                <a:solidFill>
                  <a:sysClr val="windowText" lastClr="000000"/>
                </a:solidFill>
              </a:rPr>
              <a:t>PERALTE POR ABSCISA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1259771594016409E-2"/>
          <c:y val="0.10042504793284816"/>
          <c:w val="0.75974103265240467"/>
          <c:h val="0.83624862823977386"/>
        </c:manualLayout>
      </c:layout>
      <c:scatterChart>
        <c:scatterStyle val="lineMarker"/>
        <c:varyColors val="0"/>
        <c:ser>
          <c:idx val="0"/>
          <c:order val="0"/>
          <c:tx>
            <c:v>B EXT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'PERALTE-P4'!$H$25:$H$37</c:f>
              <c:numCache>
                <c:formatCode>\K0\+000.000</c:formatCode>
                <c:ptCount val="13"/>
                <c:pt idx="0">
                  <c:v>641</c:v>
                </c:pt>
                <c:pt idx="1">
                  <c:v>645</c:v>
                </c:pt>
                <c:pt idx="2">
                  <c:v>650</c:v>
                </c:pt>
                <c:pt idx="3">
                  <c:v>647.25</c:v>
                </c:pt>
                <c:pt idx="4">
                  <c:v>650</c:v>
                </c:pt>
                <c:pt idx="5">
                  <c:v>655</c:v>
                </c:pt>
                <c:pt idx="6">
                  <c:v>660</c:v>
                </c:pt>
                <c:pt idx="7">
                  <c:v>665</c:v>
                </c:pt>
                <c:pt idx="8">
                  <c:v>670</c:v>
                </c:pt>
                <c:pt idx="9">
                  <c:v>675</c:v>
                </c:pt>
                <c:pt idx="10">
                  <c:v>680</c:v>
                </c:pt>
                <c:pt idx="11">
                  <c:v>685</c:v>
                </c:pt>
                <c:pt idx="12">
                  <c:v>691</c:v>
                </c:pt>
              </c:numCache>
            </c:numRef>
          </c:xVal>
          <c:yVal>
            <c:numRef>
              <c:f>'PERALTE-P4'!$J$25:$J$37</c:f>
              <c:numCache>
                <c:formatCode>0.000</c:formatCode>
                <c:ptCount val="13"/>
                <c:pt idx="0">
                  <c:v>0</c:v>
                </c:pt>
                <c:pt idx="1">
                  <c:v>1.2800000000000002</c:v>
                </c:pt>
                <c:pt idx="2">
                  <c:v>2.88</c:v>
                </c:pt>
                <c:pt idx="3">
                  <c:v>2</c:v>
                </c:pt>
                <c:pt idx="4">
                  <c:v>2.3771428571428572</c:v>
                </c:pt>
                <c:pt idx="5">
                  <c:v>3.0628571428571432</c:v>
                </c:pt>
                <c:pt idx="6">
                  <c:v>3.7485714285714287</c:v>
                </c:pt>
                <c:pt idx="7">
                  <c:v>4.4342857142857142</c:v>
                </c:pt>
                <c:pt idx="8">
                  <c:v>5.12</c:v>
                </c:pt>
                <c:pt idx="9">
                  <c:v>5.805714285714286</c:v>
                </c:pt>
                <c:pt idx="10">
                  <c:v>6.491428571428572</c:v>
                </c:pt>
                <c:pt idx="11">
                  <c:v>7.177142857142857</c:v>
                </c:pt>
                <c:pt idx="12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6A-4D36-BC2E-0F85A5EF7E7F}"/>
            </c:ext>
          </c:extLst>
        </c:ser>
        <c:ser>
          <c:idx val="1"/>
          <c:order val="1"/>
          <c:tx>
            <c:v>EJE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'PERALTE-P4'!$H$25:$H$37</c:f>
              <c:numCache>
                <c:formatCode>\K0\+000.000</c:formatCode>
                <c:ptCount val="13"/>
                <c:pt idx="0">
                  <c:v>641</c:v>
                </c:pt>
                <c:pt idx="1">
                  <c:v>645</c:v>
                </c:pt>
                <c:pt idx="2">
                  <c:v>650</c:v>
                </c:pt>
                <c:pt idx="3">
                  <c:v>647.25</c:v>
                </c:pt>
                <c:pt idx="4">
                  <c:v>650</c:v>
                </c:pt>
                <c:pt idx="5">
                  <c:v>655</c:v>
                </c:pt>
                <c:pt idx="6">
                  <c:v>660</c:v>
                </c:pt>
                <c:pt idx="7">
                  <c:v>665</c:v>
                </c:pt>
                <c:pt idx="8">
                  <c:v>670</c:v>
                </c:pt>
                <c:pt idx="9">
                  <c:v>675</c:v>
                </c:pt>
                <c:pt idx="10">
                  <c:v>680</c:v>
                </c:pt>
                <c:pt idx="11">
                  <c:v>685</c:v>
                </c:pt>
                <c:pt idx="12">
                  <c:v>691</c:v>
                </c:pt>
              </c:numCache>
            </c:numRef>
          </c:xVal>
          <c:yVal>
            <c:numRef>
              <c:f>'PERALTE-P4'!$F$25:$F$37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6A-4D36-BC2E-0F85A5EF7E7F}"/>
            </c:ext>
          </c:extLst>
        </c:ser>
        <c:ser>
          <c:idx val="2"/>
          <c:order val="2"/>
          <c:tx>
            <c:v>B INT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'PERALTE-P4'!$H$25:$H$37</c:f>
              <c:numCache>
                <c:formatCode>\K0\+000.000</c:formatCode>
                <c:ptCount val="13"/>
                <c:pt idx="0">
                  <c:v>641</c:v>
                </c:pt>
                <c:pt idx="1">
                  <c:v>645</c:v>
                </c:pt>
                <c:pt idx="2">
                  <c:v>650</c:v>
                </c:pt>
                <c:pt idx="3">
                  <c:v>647.25</c:v>
                </c:pt>
                <c:pt idx="4">
                  <c:v>650</c:v>
                </c:pt>
                <c:pt idx="5">
                  <c:v>655</c:v>
                </c:pt>
                <c:pt idx="6">
                  <c:v>660</c:v>
                </c:pt>
                <c:pt idx="7">
                  <c:v>665</c:v>
                </c:pt>
                <c:pt idx="8">
                  <c:v>670</c:v>
                </c:pt>
                <c:pt idx="9">
                  <c:v>675</c:v>
                </c:pt>
                <c:pt idx="10">
                  <c:v>680</c:v>
                </c:pt>
                <c:pt idx="11">
                  <c:v>685</c:v>
                </c:pt>
                <c:pt idx="12">
                  <c:v>691</c:v>
                </c:pt>
              </c:numCache>
            </c:numRef>
          </c:xVal>
          <c:yVal>
            <c:numRef>
              <c:f>'PERALTE-P4'!$K$25:$K$37</c:f>
              <c:numCache>
                <c:formatCode>0.000</c:formatCode>
                <c:ptCount val="13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-2.3771428571428572</c:v>
                </c:pt>
                <c:pt idx="5">
                  <c:v>-3.0628571428571432</c:v>
                </c:pt>
                <c:pt idx="6">
                  <c:v>-3.7485714285714287</c:v>
                </c:pt>
                <c:pt idx="7">
                  <c:v>-4.4342857142857142</c:v>
                </c:pt>
                <c:pt idx="8">
                  <c:v>-5.12</c:v>
                </c:pt>
                <c:pt idx="9">
                  <c:v>-5.805714285714286</c:v>
                </c:pt>
                <c:pt idx="10">
                  <c:v>-6.491428571428572</c:v>
                </c:pt>
                <c:pt idx="11">
                  <c:v>-7.177142857142857</c:v>
                </c:pt>
                <c:pt idx="12">
                  <c:v>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6A-4D36-BC2E-0F85A5EF7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95808"/>
        <c:axId val="31897056"/>
      </c:scatterChart>
      <c:valAx>
        <c:axId val="3189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K0\+000.0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897056"/>
        <c:crosses val="autoZero"/>
        <c:crossBetween val="midCat"/>
      </c:valAx>
      <c:valAx>
        <c:axId val="3189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89580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839635962668996"/>
          <c:y val="0.43095864471385031"/>
          <c:w val="7.4241807932001316E-2"/>
          <c:h val="0.226024680047891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" panose="02040504050005020304" pitchFamily="18" charset="0"/>
                <a:ea typeface="+mn-ea"/>
                <a:cs typeface="+mn-cs"/>
              </a:defRPr>
            </a:pPr>
            <a:r>
              <a:rPr lang="es-CO"/>
              <a:t>PERALTE POR ABSCISA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masis MT Pro" panose="02040504050005020304" pitchFamily="18" charset="0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Eje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'PERALTE CIRCULAR'!$H$64:$H$75</c:f>
              <c:numCache>
                <c:formatCode>\K0\+000.0000</c:formatCode>
                <c:ptCount val="12"/>
                <c:pt idx="0">
                  <c:v>1340.7182</c:v>
                </c:pt>
                <c:pt idx="1">
                  <c:v>1345</c:v>
                </c:pt>
                <c:pt idx="2">
                  <c:v>1346.9682</c:v>
                </c:pt>
                <c:pt idx="3">
                  <c:v>1350</c:v>
                </c:pt>
                <c:pt idx="4">
                  <c:v>1353.2182</c:v>
                </c:pt>
                <c:pt idx="5">
                  <c:v>1355</c:v>
                </c:pt>
                <c:pt idx="6">
                  <c:v>1360</c:v>
                </c:pt>
                <c:pt idx="7">
                  <c:v>1361.9682</c:v>
                </c:pt>
                <c:pt idx="8">
                  <c:v>1365</c:v>
                </c:pt>
                <c:pt idx="9">
                  <c:v>1365.7182</c:v>
                </c:pt>
                <c:pt idx="10">
                  <c:v>1370</c:v>
                </c:pt>
                <c:pt idx="11">
                  <c:v>1375</c:v>
                </c:pt>
              </c:numCache>
            </c:numRef>
          </c:xVal>
          <c:yVal>
            <c:numRef>
              <c:f>'PERALTE CIRCULAR'!$O$64:$O$75</c:f>
              <c:numCache>
                <c:formatCode>0.0000</c:formatCode>
                <c:ptCount val="12"/>
                <c:pt idx="0">
                  <c:v>149.19139999999999</c:v>
                </c:pt>
                <c:pt idx="1">
                  <c:v>149.27703600000001</c:v>
                </c:pt>
                <c:pt idx="2">
                  <c:v>149.31639999999999</c:v>
                </c:pt>
                <c:pt idx="3">
                  <c:v>149.377036</c:v>
                </c:pt>
                <c:pt idx="4">
                  <c:v>149.44139999999999</c:v>
                </c:pt>
                <c:pt idx="5">
                  <c:v>149.477036</c:v>
                </c:pt>
                <c:pt idx="6">
                  <c:v>149.57703599999999</c:v>
                </c:pt>
                <c:pt idx="7">
                  <c:v>149.6164</c:v>
                </c:pt>
                <c:pt idx="8">
                  <c:v>149.67703599999999</c:v>
                </c:pt>
                <c:pt idx="9">
                  <c:v>149.69139999999999</c:v>
                </c:pt>
                <c:pt idx="10">
                  <c:v>149.77703600000001</c:v>
                </c:pt>
                <c:pt idx="11">
                  <c:v>149.877036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DE-48D3-AF44-297D2B588007}"/>
            </c:ext>
          </c:extLst>
        </c:ser>
        <c:ser>
          <c:idx val="1"/>
          <c:order val="1"/>
          <c:tx>
            <c:v>Borde Ext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'PERALTE CIRCULAR'!$H$64:$H$75</c:f>
              <c:numCache>
                <c:formatCode>\K0\+000.0000</c:formatCode>
                <c:ptCount val="12"/>
                <c:pt idx="0">
                  <c:v>1340.7182</c:v>
                </c:pt>
                <c:pt idx="1">
                  <c:v>1345</c:v>
                </c:pt>
                <c:pt idx="2">
                  <c:v>1346.9682</c:v>
                </c:pt>
                <c:pt idx="3">
                  <c:v>1350</c:v>
                </c:pt>
                <c:pt idx="4">
                  <c:v>1353.2182</c:v>
                </c:pt>
                <c:pt idx="5">
                  <c:v>1355</c:v>
                </c:pt>
                <c:pt idx="6">
                  <c:v>1360</c:v>
                </c:pt>
                <c:pt idx="7">
                  <c:v>1361.9682</c:v>
                </c:pt>
                <c:pt idx="8">
                  <c:v>1365</c:v>
                </c:pt>
                <c:pt idx="9">
                  <c:v>1365.7182</c:v>
                </c:pt>
                <c:pt idx="10">
                  <c:v>1370</c:v>
                </c:pt>
                <c:pt idx="11">
                  <c:v>1375</c:v>
                </c:pt>
              </c:numCache>
            </c:numRef>
          </c:xVal>
          <c:yVal>
            <c:numRef>
              <c:f>'PERALTE CIRCULAR'!$N$64:$N$75</c:f>
              <c:numCache>
                <c:formatCode>0.0000</c:formatCode>
                <c:ptCount val="12"/>
                <c:pt idx="0">
                  <c:v>149.13139999999999</c:v>
                </c:pt>
                <c:pt idx="1">
                  <c:v>149.25814128000002</c:v>
                </c:pt>
                <c:pt idx="2">
                  <c:v>149.31639999999999</c:v>
                </c:pt>
                <c:pt idx="3">
                  <c:v>149.40614128000001</c:v>
                </c:pt>
                <c:pt idx="4">
                  <c:v>149.50139999999999</c:v>
                </c:pt>
                <c:pt idx="5">
                  <c:v>149.55414128000001</c:v>
                </c:pt>
                <c:pt idx="6">
                  <c:v>149.70214128000001</c:v>
                </c:pt>
                <c:pt idx="7">
                  <c:v>149.7604</c:v>
                </c:pt>
                <c:pt idx="8">
                  <c:v>149.85014127999997</c:v>
                </c:pt>
                <c:pt idx="9">
                  <c:v>149.87139999999999</c:v>
                </c:pt>
                <c:pt idx="10">
                  <c:v>149.95703600000002</c:v>
                </c:pt>
                <c:pt idx="11">
                  <c:v>150.05703600000001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DE-48D3-AF44-297D2B588007}"/>
            </c:ext>
          </c:extLst>
        </c:ser>
        <c:ser>
          <c:idx val="2"/>
          <c:order val="2"/>
          <c:tx>
            <c:v>Borde Int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'PERALTE CIRCULAR'!$H$64:$H$75</c:f>
              <c:numCache>
                <c:formatCode>\K0\+000.0000</c:formatCode>
                <c:ptCount val="12"/>
                <c:pt idx="0">
                  <c:v>1340.7182</c:v>
                </c:pt>
                <c:pt idx="1">
                  <c:v>1345</c:v>
                </c:pt>
                <c:pt idx="2">
                  <c:v>1346.9682</c:v>
                </c:pt>
                <c:pt idx="3">
                  <c:v>1350</c:v>
                </c:pt>
                <c:pt idx="4">
                  <c:v>1353.2182</c:v>
                </c:pt>
                <c:pt idx="5">
                  <c:v>1355</c:v>
                </c:pt>
                <c:pt idx="6">
                  <c:v>1360</c:v>
                </c:pt>
                <c:pt idx="7">
                  <c:v>1361.9682</c:v>
                </c:pt>
                <c:pt idx="8">
                  <c:v>1365</c:v>
                </c:pt>
                <c:pt idx="9">
                  <c:v>1365.7182</c:v>
                </c:pt>
                <c:pt idx="10">
                  <c:v>1370</c:v>
                </c:pt>
                <c:pt idx="11">
                  <c:v>1375</c:v>
                </c:pt>
              </c:numCache>
            </c:numRef>
          </c:xVal>
          <c:yVal>
            <c:numRef>
              <c:f>'PERALTE CIRCULAR'!$P$64:$P$75</c:f>
              <c:numCache>
                <c:formatCode>0.0000</c:formatCode>
                <c:ptCount val="12"/>
                <c:pt idx="0">
                  <c:v>149.13139999999999</c:v>
                </c:pt>
                <c:pt idx="1">
                  <c:v>149.21703600000001</c:v>
                </c:pt>
                <c:pt idx="2">
                  <c:v>149.25639999999999</c:v>
                </c:pt>
                <c:pt idx="3">
                  <c:v>149.317036</c:v>
                </c:pt>
                <c:pt idx="4">
                  <c:v>149.38139999999999</c:v>
                </c:pt>
                <c:pt idx="5">
                  <c:v>149.39993071999999</c:v>
                </c:pt>
                <c:pt idx="6">
                  <c:v>149.45193071999998</c:v>
                </c:pt>
                <c:pt idx="7">
                  <c:v>149.47239999999999</c:v>
                </c:pt>
                <c:pt idx="8">
                  <c:v>149.50393072</c:v>
                </c:pt>
                <c:pt idx="9">
                  <c:v>149.51139999999998</c:v>
                </c:pt>
                <c:pt idx="10">
                  <c:v>149.597036</c:v>
                </c:pt>
                <c:pt idx="11">
                  <c:v>149.697036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DE-48D3-AF44-297D2B588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9904"/>
        <c:axId val="10271824"/>
      </c:scatterChart>
      <c:valAx>
        <c:axId val="10269904"/>
        <c:scaling>
          <c:orientation val="minMax"/>
          <c:max val="1375"/>
          <c:min val="13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masis MT Pro" panose="02040504050005020304" pitchFamily="18" charset="0"/>
                    <a:ea typeface="+mn-ea"/>
                    <a:cs typeface="+mn-cs"/>
                  </a:defRPr>
                </a:pPr>
                <a:r>
                  <a:rPr lang="es-MX"/>
                  <a:t>Abscisas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masis MT Pro" panose="02040504050005020304" pitchFamily="18" charset="0"/>
                  <a:ea typeface="+mn-ea"/>
                  <a:cs typeface="+mn-cs"/>
                </a:defRPr>
              </a:pPr>
              <a:endParaRPr lang="es-MX"/>
            </a:p>
          </c:txPr>
        </c:title>
        <c:numFmt formatCode="\K0\+00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" panose="02040504050005020304" pitchFamily="18" charset="0"/>
                <a:ea typeface="+mn-ea"/>
                <a:cs typeface="+mn-cs"/>
              </a:defRPr>
            </a:pPr>
            <a:endParaRPr lang="es-MX"/>
          </a:p>
        </c:txPr>
        <c:crossAx val="10271824"/>
        <c:crosses val="autoZero"/>
        <c:crossBetween val="midCat"/>
      </c:valAx>
      <c:valAx>
        <c:axId val="1027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masis MT Pro" panose="02040504050005020304" pitchFamily="18" charset="0"/>
                    <a:ea typeface="+mn-ea"/>
                    <a:cs typeface="+mn-cs"/>
                  </a:defRPr>
                </a:pPr>
                <a:r>
                  <a:rPr lang="es-MX"/>
                  <a:t>Cota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masis MT Pro" panose="02040504050005020304" pitchFamily="18" charset="0"/>
                  <a:ea typeface="+mn-ea"/>
                  <a:cs typeface="+mn-cs"/>
                </a:defRPr>
              </a:pPr>
              <a:endParaRPr lang="es-MX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" panose="02040504050005020304" pitchFamily="18" charset="0"/>
                <a:ea typeface="+mn-ea"/>
                <a:cs typeface="+mn-cs"/>
              </a:defRPr>
            </a:pPr>
            <a:endParaRPr lang="es-MX"/>
          </a:p>
        </c:txPr>
        <c:crossAx val="10269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masis MT Pro" panose="02040504050005020304" pitchFamily="18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masis MT Pro" panose="020405040500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" panose="02040504050005020304" pitchFamily="18" charset="0"/>
                <a:ea typeface="+mn-ea"/>
                <a:cs typeface="+mn-cs"/>
              </a:defRPr>
            </a:pPr>
            <a:r>
              <a:rPr lang="es-CO"/>
              <a:t>PERALTE POR ABSCISA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masis MT Pro" panose="02040504050005020304" pitchFamily="18" charset="0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Eje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'PERALTE ESPIRAL'!$H$64:$H$75</c:f>
              <c:numCache>
                <c:formatCode>\K0\+000.0000</c:formatCode>
                <c:ptCount val="12"/>
                <c:pt idx="0">
                  <c:v>2405.46</c:v>
                </c:pt>
                <c:pt idx="1">
                  <c:v>2410</c:v>
                </c:pt>
                <c:pt idx="2">
                  <c:v>2411.71</c:v>
                </c:pt>
                <c:pt idx="3">
                  <c:v>2415</c:v>
                </c:pt>
                <c:pt idx="4">
                  <c:v>2417.96</c:v>
                </c:pt>
                <c:pt idx="5">
                  <c:v>2418.7660000000001</c:v>
                </c:pt>
                <c:pt idx="6">
                  <c:v>2420</c:v>
                </c:pt>
                <c:pt idx="7">
                  <c:v>2420.5300000000002</c:v>
                </c:pt>
                <c:pt idx="8">
                  <c:v>2425</c:v>
                </c:pt>
                <c:pt idx="9">
                  <c:v>2427.5860000000002</c:v>
                </c:pt>
                <c:pt idx="10">
                  <c:v>2430</c:v>
                </c:pt>
                <c:pt idx="11">
                  <c:v>2434.6420000000003</c:v>
                </c:pt>
              </c:numCache>
            </c:numRef>
          </c:xVal>
          <c:yVal>
            <c:numRef>
              <c:f>'PERALTE ESPIRAL'!$O$64:$O$75</c:f>
              <c:numCache>
                <c:formatCode>0.0000</c:formatCode>
                <c:ptCount val="12"/>
                <c:pt idx="0">
                  <c:v>149.55708000000001</c:v>
                </c:pt>
                <c:pt idx="1">
                  <c:v>149.64788000000001</c:v>
                </c:pt>
                <c:pt idx="2">
                  <c:v>149.68208000000001</c:v>
                </c:pt>
                <c:pt idx="3">
                  <c:v>149.74788000000001</c:v>
                </c:pt>
                <c:pt idx="4">
                  <c:v>149.80708000000001</c:v>
                </c:pt>
                <c:pt idx="5">
                  <c:v>149.82320000000001</c:v>
                </c:pt>
                <c:pt idx="6">
                  <c:v>149.84788</c:v>
                </c:pt>
                <c:pt idx="7">
                  <c:v>149.85848000000001</c:v>
                </c:pt>
                <c:pt idx="8">
                  <c:v>149.94788000000003</c:v>
                </c:pt>
                <c:pt idx="9">
                  <c:v>149.99960000000002</c:v>
                </c:pt>
                <c:pt idx="10">
                  <c:v>150.04788000000002</c:v>
                </c:pt>
                <c:pt idx="11">
                  <c:v>150.14072000000002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7B-4701-934D-D2EBD7D43A3C}"/>
            </c:ext>
          </c:extLst>
        </c:ser>
        <c:ser>
          <c:idx val="1"/>
          <c:order val="1"/>
          <c:tx>
            <c:v>Borde Ext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'PERALTE ESPIRAL'!$H$64:$H$75</c:f>
              <c:numCache>
                <c:formatCode>\K0\+000.0000</c:formatCode>
                <c:ptCount val="12"/>
                <c:pt idx="0">
                  <c:v>2405.46</c:v>
                </c:pt>
                <c:pt idx="1">
                  <c:v>2410</c:v>
                </c:pt>
                <c:pt idx="2">
                  <c:v>2411.71</c:v>
                </c:pt>
                <c:pt idx="3">
                  <c:v>2415</c:v>
                </c:pt>
                <c:pt idx="4">
                  <c:v>2417.96</c:v>
                </c:pt>
                <c:pt idx="5">
                  <c:v>2418.7660000000001</c:v>
                </c:pt>
                <c:pt idx="6">
                  <c:v>2420</c:v>
                </c:pt>
                <c:pt idx="7">
                  <c:v>2420.5300000000002</c:v>
                </c:pt>
                <c:pt idx="8">
                  <c:v>2425</c:v>
                </c:pt>
                <c:pt idx="9">
                  <c:v>2427.5860000000002</c:v>
                </c:pt>
                <c:pt idx="10">
                  <c:v>2430</c:v>
                </c:pt>
                <c:pt idx="11">
                  <c:v>2434.6420000000003</c:v>
                </c:pt>
              </c:numCache>
            </c:numRef>
          </c:xVal>
          <c:yVal>
            <c:numRef>
              <c:f>'PERALTE ESPIRAL'!$N$64:$N$75</c:f>
              <c:numCache>
                <c:formatCode>0.0000</c:formatCode>
                <c:ptCount val="12"/>
                <c:pt idx="0">
                  <c:v>149.49708000000001</c:v>
                </c:pt>
                <c:pt idx="1">
                  <c:v>149.63146400000002</c:v>
                </c:pt>
                <c:pt idx="2">
                  <c:v>149.68208000000001</c:v>
                </c:pt>
                <c:pt idx="3">
                  <c:v>149.77946400000002</c:v>
                </c:pt>
                <c:pt idx="4">
                  <c:v>149.86708000000002</c:v>
                </c:pt>
                <c:pt idx="5">
                  <c:v>149.92083424124516</c:v>
                </c:pt>
                <c:pt idx="6">
                  <c:v>150.00313291828795</c:v>
                </c:pt>
                <c:pt idx="7">
                  <c:v>150.03848000000002</c:v>
                </c:pt>
                <c:pt idx="8">
                  <c:v>150.12788000000003</c:v>
                </c:pt>
                <c:pt idx="9">
                  <c:v>150.17960000000002</c:v>
                </c:pt>
                <c:pt idx="10">
                  <c:v>150.22788000000003</c:v>
                </c:pt>
                <c:pt idx="11">
                  <c:v>150.32072000000002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7B-4701-934D-D2EBD7D43A3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'PERALTE ESPIRAL'!$H$64:$H$82</c:f>
              <c:numCache>
                <c:formatCode>\K0\+000.0000</c:formatCode>
                <c:ptCount val="19"/>
                <c:pt idx="0">
                  <c:v>2405.46</c:v>
                </c:pt>
                <c:pt idx="1">
                  <c:v>2410</c:v>
                </c:pt>
                <c:pt idx="2">
                  <c:v>2411.71</c:v>
                </c:pt>
                <c:pt idx="3">
                  <c:v>2415</c:v>
                </c:pt>
                <c:pt idx="4">
                  <c:v>2417.96</c:v>
                </c:pt>
                <c:pt idx="5">
                  <c:v>2418.7660000000001</c:v>
                </c:pt>
                <c:pt idx="6">
                  <c:v>2420</c:v>
                </c:pt>
                <c:pt idx="7">
                  <c:v>2420.5300000000002</c:v>
                </c:pt>
                <c:pt idx="8">
                  <c:v>2425</c:v>
                </c:pt>
                <c:pt idx="9">
                  <c:v>2427.5860000000002</c:v>
                </c:pt>
                <c:pt idx="10">
                  <c:v>2430</c:v>
                </c:pt>
                <c:pt idx="11">
                  <c:v>2434.6420000000003</c:v>
                </c:pt>
                <c:pt idx="12">
                  <c:v>2435</c:v>
                </c:pt>
                <c:pt idx="13">
                  <c:v>2436.4060000000004</c:v>
                </c:pt>
                <c:pt idx="14">
                  <c:v>2437.2120000000004</c:v>
                </c:pt>
                <c:pt idx="15">
                  <c:v>2440</c:v>
                </c:pt>
                <c:pt idx="16">
                  <c:v>2443.4620000000004</c:v>
                </c:pt>
                <c:pt idx="17">
                  <c:v>2445</c:v>
                </c:pt>
                <c:pt idx="18">
                  <c:v>2449.7120000000004</c:v>
                </c:pt>
              </c:numCache>
            </c:numRef>
          </c:xVal>
          <c:yVal>
            <c:numRef>
              <c:f>'PERALTE ESPIRAL'!$P$64:$P$75</c:f>
              <c:numCache>
                <c:formatCode>0.0000</c:formatCode>
                <c:ptCount val="12"/>
                <c:pt idx="0">
                  <c:v>149.49708000000001</c:v>
                </c:pt>
                <c:pt idx="1">
                  <c:v>149.58788000000001</c:v>
                </c:pt>
                <c:pt idx="2">
                  <c:v>149.62208000000001</c:v>
                </c:pt>
                <c:pt idx="3">
                  <c:v>149.68788000000001</c:v>
                </c:pt>
                <c:pt idx="4">
                  <c:v>149.74708000000001</c:v>
                </c:pt>
                <c:pt idx="5">
                  <c:v>149.72556575875487</c:v>
                </c:pt>
                <c:pt idx="6">
                  <c:v>149.69262708171206</c:v>
                </c:pt>
                <c:pt idx="7">
                  <c:v>149.67848000000001</c:v>
                </c:pt>
                <c:pt idx="8">
                  <c:v>149.76788000000002</c:v>
                </c:pt>
                <c:pt idx="9">
                  <c:v>149.81960000000001</c:v>
                </c:pt>
                <c:pt idx="10">
                  <c:v>149.86788000000001</c:v>
                </c:pt>
                <c:pt idx="11">
                  <c:v>149.96072000000001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7B-4701-934D-D2EBD7D43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9904"/>
        <c:axId val="10271824"/>
      </c:scatterChart>
      <c:valAx>
        <c:axId val="10269904"/>
        <c:scaling>
          <c:orientation val="minMax"/>
          <c:max val="2435"/>
          <c:min val="24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masis MT Pro" panose="02040504050005020304" pitchFamily="18" charset="0"/>
                    <a:ea typeface="+mn-ea"/>
                    <a:cs typeface="+mn-cs"/>
                  </a:defRPr>
                </a:pPr>
                <a:r>
                  <a:rPr lang="es-MX"/>
                  <a:t>Abscisas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masis MT Pro" panose="02040504050005020304" pitchFamily="18" charset="0"/>
                  <a:ea typeface="+mn-ea"/>
                  <a:cs typeface="+mn-cs"/>
                </a:defRPr>
              </a:pPr>
              <a:endParaRPr lang="es-MX"/>
            </a:p>
          </c:txPr>
        </c:title>
        <c:numFmt formatCode="\K0\+00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" panose="02040504050005020304" pitchFamily="18" charset="0"/>
                <a:ea typeface="+mn-ea"/>
                <a:cs typeface="+mn-cs"/>
              </a:defRPr>
            </a:pPr>
            <a:endParaRPr lang="es-MX"/>
          </a:p>
        </c:txPr>
        <c:crossAx val="10271824"/>
        <c:crosses val="autoZero"/>
        <c:crossBetween val="midCat"/>
      </c:valAx>
      <c:valAx>
        <c:axId val="1027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masis MT Pro" panose="02040504050005020304" pitchFamily="18" charset="0"/>
                    <a:ea typeface="+mn-ea"/>
                    <a:cs typeface="+mn-cs"/>
                  </a:defRPr>
                </a:pPr>
                <a:r>
                  <a:rPr lang="es-MX"/>
                  <a:t>Cota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masis MT Pro" panose="02040504050005020304" pitchFamily="18" charset="0"/>
                  <a:ea typeface="+mn-ea"/>
                  <a:cs typeface="+mn-cs"/>
                </a:defRPr>
              </a:pPr>
              <a:endParaRPr lang="es-MX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" panose="02040504050005020304" pitchFamily="18" charset="0"/>
                <a:ea typeface="+mn-ea"/>
                <a:cs typeface="+mn-cs"/>
              </a:defRPr>
            </a:pPr>
            <a:endParaRPr lang="es-MX"/>
          </a:p>
        </c:txPr>
        <c:crossAx val="10269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masis MT Pro" panose="02040504050005020304" pitchFamily="18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masis MT Pro" panose="020405040500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457200</xdr:colOff>
      <xdr:row>7</xdr:row>
      <xdr:rowOff>83445</xdr:rowOff>
    </xdr:from>
    <xdr:to>
      <xdr:col>30</xdr:col>
      <xdr:colOff>630548</xdr:colOff>
      <xdr:row>27</xdr:row>
      <xdr:rowOff>131931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BB700E-A49E-4E98-83B1-37FAA2BB8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397329</xdr:colOff>
      <xdr:row>54</xdr:row>
      <xdr:rowOff>21771</xdr:rowOff>
    </xdr:from>
    <xdr:to>
      <xdr:col>27</xdr:col>
      <xdr:colOff>903514</xdr:colOff>
      <xdr:row>86</xdr:row>
      <xdr:rowOff>141514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900283-4284-51E3-65EA-739F30808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397329</xdr:colOff>
      <xdr:row>54</xdr:row>
      <xdr:rowOff>21771</xdr:rowOff>
    </xdr:from>
    <xdr:to>
      <xdr:col>27</xdr:col>
      <xdr:colOff>903514</xdr:colOff>
      <xdr:row>86</xdr:row>
      <xdr:rowOff>141514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FA72C8A-4E1F-4D7E-B243-23C1C250F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122B-9EF4-4D02-B089-CA04AFEF37E2}">
  <dimension ref="B4:P102"/>
  <sheetViews>
    <sheetView showWhiteSpace="0" topLeftCell="T1" zoomScale="70" zoomScaleNormal="70" zoomScaleSheetLayoutView="33" zoomScalePageLayoutView="53" workbookViewId="0">
      <selection activeCell="J22" sqref="J22"/>
    </sheetView>
  </sheetViews>
  <sheetFormatPr baseColWidth="10" defaultRowHeight="15" x14ac:dyDescent="0.25"/>
  <cols>
    <col min="1" max="1" width="10.90625" style="1"/>
    <col min="2" max="2" width="29" style="1" bestFit="1" customWidth="1"/>
    <col min="3" max="5" width="10.90625" style="1"/>
    <col min="6" max="6" width="29" style="1" bestFit="1" customWidth="1"/>
    <col min="7" max="9" width="10.90625" style="1"/>
    <col min="10" max="10" width="14.6328125" style="1" customWidth="1"/>
    <col min="11" max="11" width="14" style="1" customWidth="1"/>
    <col min="12" max="12" width="10.90625" style="1"/>
    <col min="13" max="13" width="8.81640625" style="1" bestFit="1" customWidth="1"/>
    <col min="14" max="16" width="10.90625" style="1"/>
    <col min="17" max="17" width="17.26953125" style="1" bestFit="1" customWidth="1"/>
    <col min="18" max="18" width="16.1796875" style="1" bestFit="1" customWidth="1"/>
    <col min="19" max="19" width="10.81640625" style="1" bestFit="1" customWidth="1"/>
    <col min="20" max="20" width="9.90625" style="1" bestFit="1" customWidth="1"/>
    <col min="21" max="21" width="13.36328125" style="1" bestFit="1" customWidth="1"/>
    <col min="22" max="22" width="11.1796875" style="1" bestFit="1" customWidth="1"/>
    <col min="23" max="23" width="10.90625" style="1" bestFit="1" customWidth="1"/>
    <col min="24" max="24" width="8.1796875" style="1" customWidth="1"/>
    <col min="25" max="16384" width="10.90625" style="1"/>
  </cols>
  <sheetData>
    <row r="4" spans="2:8" x14ac:dyDescent="0.25">
      <c r="B4" s="1" t="s">
        <v>44</v>
      </c>
      <c r="E4" s="1" t="s">
        <v>43</v>
      </c>
    </row>
    <row r="5" spans="2:8" x14ac:dyDescent="0.25">
      <c r="B5" s="1" t="s">
        <v>42</v>
      </c>
      <c r="C5" s="1">
        <f>40</f>
        <v>40</v>
      </c>
      <c r="E5" s="1" t="s">
        <v>41</v>
      </c>
      <c r="F5" s="32">
        <v>26.539500758174832</v>
      </c>
      <c r="G5" s="1" t="s">
        <v>40</v>
      </c>
      <c r="H5" s="32">
        <v>74.24774140337388</v>
      </c>
    </row>
    <row r="6" spans="2:8" x14ac:dyDescent="0.25">
      <c r="B6" s="1" t="s">
        <v>39</v>
      </c>
      <c r="C6" s="1">
        <v>6</v>
      </c>
      <c r="E6" s="1" t="s">
        <v>13</v>
      </c>
      <c r="F6" s="1">
        <v>50</v>
      </c>
    </row>
    <row r="7" spans="2:8" x14ac:dyDescent="0.25">
      <c r="B7" s="1" t="s">
        <v>38</v>
      </c>
      <c r="C7" s="1">
        <f>C6/2</f>
        <v>3</v>
      </c>
      <c r="F7" s="1" t="s">
        <v>8</v>
      </c>
    </row>
    <row r="8" spans="2:8" x14ac:dyDescent="0.25">
      <c r="B8" s="1" t="s">
        <v>37</v>
      </c>
      <c r="C8" s="1">
        <v>6</v>
      </c>
      <c r="E8" s="1" t="s">
        <v>23</v>
      </c>
      <c r="F8" s="1" t="s">
        <v>22</v>
      </c>
    </row>
    <row r="9" spans="2:8" x14ac:dyDescent="0.25">
      <c r="B9" s="1" t="s">
        <v>36</v>
      </c>
      <c r="C9" s="31">
        <v>0.02</v>
      </c>
      <c r="E9" s="1" t="s">
        <v>35</v>
      </c>
      <c r="F9" s="17">
        <v>641</v>
      </c>
    </row>
    <row r="10" spans="2:8" x14ac:dyDescent="0.25">
      <c r="B10" s="1" t="s">
        <v>5</v>
      </c>
      <c r="C10" s="1">
        <v>5</v>
      </c>
      <c r="E10" s="1" t="s">
        <v>34</v>
      </c>
      <c r="F10" s="17">
        <f>F9+F6</f>
        <v>691</v>
      </c>
    </row>
    <row r="11" spans="2:8" x14ac:dyDescent="0.25">
      <c r="B11" s="1" t="s">
        <v>16</v>
      </c>
      <c r="E11" s="1" t="s">
        <v>33</v>
      </c>
      <c r="F11" s="17">
        <f>F10+F5</f>
        <v>717.53950075817488</v>
      </c>
    </row>
    <row r="12" spans="2:8" x14ac:dyDescent="0.25">
      <c r="B12" s="17" t="s">
        <v>45</v>
      </c>
      <c r="C12" s="1">
        <v>150</v>
      </c>
      <c r="E12" s="1" t="s">
        <v>32</v>
      </c>
      <c r="F12" s="17">
        <f>F11+F6</f>
        <v>767.53950075817488</v>
      </c>
    </row>
    <row r="13" spans="2:8" x14ac:dyDescent="0.25">
      <c r="B13" s="1" t="s">
        <v>31</v>
      </c>
      <c r="C13" s="1">
        <v>0.96</v>
      </c>
      <c r="E13" s="1" t="s">
        <v>30</v>
      </c>
      <c r="F13" s="17">
        <f>F9+H5</f>
        <v>715.24774140337388</v>
      </c>
    </row>
    <row r="14" spans="2:8" x14ac:dyDescent="0.25">
      <c r="B14" s="1" t="s">
        <v>29</v>
      </c>
      <c r="C14" s="1">
        <f>C7*0.1</f>
        <v>0.30000000000000004</v>
      </c>
    </row>
    <row r="15" spans="2:8" x14ac:dyDescent="0.25">
      <c r="B15" s="1" t="s">
        <v>28</v>
      </c>
    </row>
    <row r="16" spans="2:8" x14ac:dyDescent="0.25">
      <c r="B16" s="1" t="s">
        <v>27</v>
      </c>
    </row>
    <row r="17" spans="2:16" x14ac:dyDescent="0.25">
      <c r="B17" s="1" t="s">
        <v>26</v>
      </c>
      <c r="C17" s="1">
        <v>2</v>
      </c>
    </row>
    <row r="19" spans="2:16" ht="15.6" thickBot="1" x14ac:dyDescent="0.3">
      <c r="B19" s="1" t="s">
        <v>25</v>
      </c>
      <c r="C19" s="1">
        <f>(C7*C8)/C14</f>
        <v>59.999999999999993</v>
      </c>
    </row>
    <row r="20" spans="2:16" ht="15.6" thickBot="1" x14ac:dyDescent="0.3">
      <c r="B20" s="1" t="s">
        <v>24</v>
      </c>
      <c r="C20" s="18">
        <f>(C7*C8)/C13</f>
        <v>18.75</v>
      </c>
      <c r="G20" s="30" t="s">
        <v>23</v>
      </c>
      <c r="H20" s="30" t="s">
        <v>22</v>
      </c>
      <c r="I20" s="30" t="s">
        <v>16</v>
      </c>
      <c r="J20" s="29" t="s">
        <v>21</v>
      </c>
      <c r="K20" s="26" t="s">
        <v>20</v>
      </c>
      <c r="L20" s="29" t="s">
        <v>19</v>
      </c>
      <c r="M20" s="26" t="s">
        <v>18</v>
      </c>
      <c r="N20" s="28" t="s">
        <v>17</v>
      </c>
      <c r="O20" s="27" t="s">
        <v>16</v>
      </c>
      <c r="P20" s="26" t="s">
        <v>15</v>
      </c>
    </row>
    <row r="21" spans="2:16" x14ac:dyDescent="0.25">
      <c r="B21" s="1" t="s">
        <v>14</v>
      </c>
      <c r="C21" s="18">
        <f>C20</f>
        <v>18.75</v>
      </c>
      <c r="G21" s="25" t="s">
        <v>7</v>
      </c>
      <c r="H21" s="24">
        <f>C30</f>
        <v>634.75</v>
      </c>
      <c r="I21" s="23">
        <v>120</v>
      </c>
      <c r="J21" s="22">
        <v>-2</v>
      </c>
      <c r="K21" s="19">
        <v>-2</v>
      </c>
      <c r="L21" s="22">
        <f t="shared" ref="L21:L59" si="0">($C$7*J21)/100</f>
        <v>-0.06</v>
      </c>
      <c r="M21" s="19">
        <f t="shared" ref="M21:M59" si="1">($C$7*K21)/100</f>
        <v>-0.06</v>
      </c>
      <c r="N21" s="21">
        <f t="shared" ref="N21:N59" si="2">O21+L21</f>
        <v>119.94</v>
      </c>
      <c r="O21" s="20">
        <f t="shared" ref="O21:O59" si="3">I21</f>
        <v>120</v>
      </c>
      <c r="P21" s="19">
        <f t="shared" ref="P21:P59" si="4">O21+M21</f>
        <v>119.94</v>
      </c>
    </row>
    <row r="22" spans="2:16" x14ac:dyDescent="0.25">
      <c r="B22" s="1" t="s">
        <v>13</v>
      </c>
      <c r="C22" s="18">
        <f>C21</f>
        <v>18.75</v>
      </c>
      <c r="G22" s="15"/>
      <c r="H22" s="14">
        <f>CEILING(H21,5)</f>
        <v>635</v>
      </c>
      <c r="I22" s="13">
        <f>(H22-H21)*$C$90+I21</f>
        <v>120</v>
      </c>
      <c r="J22" s="12">
        <f>(($J$28-$J$21)/($H$28-$H$21))*(H22-$H$21)+$J$21</f>
        <v>-1.92</v>
      </c>
      <c r="K22" s="9">
        <v>-2</v>
      </c>
      <c r="L22" s="12">
        <f t="shared" si="0"/>
        <v>-5.7599999999999998E-2</v>
      </c>
      <c r="M22" s="9">
        <f t="shared" si="1"/>
        <v>-0.06</v>
      </c>
      <c r="N22" s="11">
        <f t="shared" si="2"/>
        <v>119.94240000000001</v>
      </c>
      <c r="O22" s="10">
        <f>I22</f>
        <v>120</v>
      </c>
      <c r="P22" s="9">
        <f t="shared" si="4"/>
        <v>119.94</v>
      </c>
    </row>
    <row r="23" spans="2:16" x14ac:dyDescent="0.25">
      <c r="B23" s="1" t="s">
        <v>12</v>
      </c>
      <c r="C23" s="1">
        <f>IF(C22&gt;C21,C22,C21)</f>
        <v>18.75</v>
      </c>
      <c r="G23" s="15"/>
      <c r="H23" s="14">
        <f>H22+$C$10</f>
        <v>640</v>
      </c>
      <c r="I23" s="13">
        <f t="shared" ref="I23:I59" si="5">(H23-H22)*$C$90+I22</f>
        <v>120</v>
      </c>
      <c r="J23" s="12">
        <f>(($J$28-$J$21)/($H$28-$H$21))*(H23-$H$21)+$J$21</f>
        <v>-0.32000000000000006</v>
      </c>
      <c r="K23" s="9">
        <v>-2</v>
      </c>
      <c r="L23" s="12">
        <f t="shared" si="0"/>
        <v>-9.6000000000000026E-3</v>
      </c>
      <c r="M23" s="9">
        <f t="shared" si="1"/>
        <v>-0.06</v>
      </c>
      <c r="N23" s="11">
        <f t="shared" si="2"/>
        <v>119.99039999999999</v>
      </c>
      <c r="O23" s="10">
        <f t="shared" si="3"/>
        <v>120</v>
      </c>
      <c r="P23" s="9">
        <f t="shared" si="4"/>
        <v>119.94</v>
      </c>
    </row>
    <row r="24" spans="2:16" x14ac:dyDescent="0.25">
      <c r="B24" s="1" t="s">
        <v>11</v>
      </c>
      <c r="C24" s="18">
        <f>(C7*C8)/C23</f>
        <v>0.96</v>
      </c>
      <c r="G24" s="15"/>
      <c r="H24" s="14">
        <f>H23+$C$10</f>
        <v>645</v>
      </c>
      <c r="I24" s="13">
        <f t="shared" si="5"/>
        <v>120</v>
      </c>
      <c r="J24" s="12">
        <f t="shared" ref="J24:J27" si="6">(($J$28-$J$21)/($H$28-$H$21))*(H24-$H$21)+$J$21</f>
        <v>1.2800000000000002</v>
      </c>
      <c r="K24" s="9">
        <v>-2</v>
      </c>
      <c r="L24" s="12">
        <f t="shared" si="0"/>
        <v>3.8400000000000011E-2</v>
      </c>
      <c r="M24" s="9">
        <f t="shared" si="1"/>
        <v>-0.06</v>
      </c>
      <c r="N24" s="11">
        <f t="shared" si="2"/>
        <v>120.0384</v>
      </c>
      <c r="O24" s="10">
        <f t="shared" si="3"/>
        <v>120</v>
      </c>
      <c r="P24" s="9">
        <f t="shared" si="4"/>
        <v>119.94</v>
      </c>
    </row>
    <row r="25" spans="2:16" x14ac:dyDescent="0.25">
      <c r="B25" s="1" t="s">
        <v>10</v>
      </c>
      <c r="C25" s="1">
        <f>(C17*C23)/C8</f>
        <v>6.25</v>
      </c>
      <c r="F25" s="1">
        <v>0</v>
      </c>
      <c r="G25" s="15" t="str">
        <f>B31</f>
        <v>B=TE</v>
      </c>
      <c r="H25" s="14">
        <f>C31</f>
        <v>641</v>
      </c>
      <c r="I25" s="13">
        <f t="shared" si="5"/>
        <v>120</v>
      </c>
      <c r="J25" s="12">
        <f>(($J$28-$J$21)/($H$28-$H$21))*(H25-$H$21)+$J$21</f>
        <v>0</v>
      </c>
      <c r="K25" s="9">
        <v>-2</v>
      </c>
      <c r="L25" s="12">
        <f t="shared" si="0"/>
        <v>0</v>
      </c>
      <c r="M25" s="9">
        <f t="shared" si="1"/>
        <v>-0.06</v>
      </c>
      <c r="N25" s="11">
        <f t="shared" si="2"/>
        <v>120</v>
      </c>
      <c r="O25" s="10">
        <f t="shared" si="3"/>
        <v>120</v>
      </c>
      <c r="P25" s="9">
        <f t="shared" si="4"/>
        <v>119.94</v>
      </c>
    </row>
    <row r="26" spans="2:16" x14ac:dyDescent="0.25">
      <c r="B26" s="1" t="s">
        <v>9</v>
      </c>
      <c r="C26" s="1">
        <f>C25+C23</f>
        <v>25</v>
      </c>
      <c r="F26" s="1">
        <v>0</v>
      </c>
      <c r="G26" s="15"/>
      <c r="H26" s="14">
        <f>CEILING(H25,5)</f>
        <v>645</v>
      </c>
      <c r="I26" s="13">
        <f t="shared" si="5"/>
        <v>120</v>
      </c>
      <c r="J26" s="12">
        <f t="shared" si="6"/>
        <v>1.2800000000000002</v>
      </c>
      <c r="K26" s="9">
        <v>-2</v>
      </c>
      <c r="L26" s="12">
        <f t="shared" si="0"/>
        <v>3.8400000000000011E-2</v>
      </c>
      <c r="M26" s="9">
        <f t="shared" si="1"/>
        <v>-0.06</v>
      </c>
      <c r="N26" s="11">
        <f t="shared" si="2"/>
        <v>120.0384</v>
      </c>
      <c r="O26" s="10">
        <f t="shared" si="3"/>
        <v>120</v>
      </c>
      <c r="P26" s="9">
        <f t="shared" si="4"/>
        <v>119.94</v>
      </c>
    </row>
    <row r="27" spans="2:16" x14ac:dyDescent="0.25">
      <c r="F27" s="1">
        <v>0</v>
      </c>
      <c r="G27" s="15"/>
      <c r="H27" s="14">
        <f>H26+$C$10</f>
        <v>650</v>
      </c>
      <c r="I27" s="13">
        <f t="shared" si="5"/>
        <v>120</v>
      </c>
      <c r="J27" s="12">
        <f t="shared" si="6"/>
        <v>2.88</v>
      </c>
      <c r="K27" s="9">
        <v>-2</v>
      </c>
      <c r="L27" s="12">
        <f t="shared" si="0"/>
        <v>8.6400000000000005E-2</v>
      </c>
      <c r="M27" s="9">
        <f t="shared" si="1"/>
        <v>-0.06</v>
      </c>
      <c r="N27" s="11">
        <f t="shared" si="2"/>
        <v>120.0864</v>
      </c>
      <c r="O27" s="10">
        <f t="shared" si="3"/>
        <v>120</v>
      </c>
      <c r="P27" s="9">
        <f t="shared" si="4"/>
        <v>119.94</v>
      </c>
    </row>
    <row r="28" spans="2:16" x14ac:dyDescent="0.25">
      <c r="F28" s="1">
        <v>0</v>
      </c>
      <c r="G28" s="15" t="str">
        <f>B32</f>
        <v>C</v>
      </c>
      <c r="H28" s="14">
        <f>C32</f>
        <v>647.25</v>
      </c>
      <c r="I28" s="13">
        <f t="shared" si="5"/>
        <v>120</v>
      </c>
      <c r="J28" s="12">
        <v>2</v>
      </c>
      <c r="K28" s="9">
        <v>-2</v>
      </c>
      <c r="L28" s="12">
        <f t="shared" si="0"/>
        <v>0.06</v>
      </c>
      <c r="M28" s="9">
        <f t="shared" si="1"/>
        <v>-0.06</v>
      </c>
      <c r="N28" s="11">
        <f t="shared" si="2"/>
        <v>120.06</v>
      </c>
      <c r="O28" s="10">
        <f t="shared" si="3"/>
        <v>120</v>
      </c>
      <c r="P28" s="9">
        <f t="shared" si="4"/>
        <v>119.94</v>
      </c>
    </row>
    <row r="29" spans="2:16" x14ac:dyDescent="0.25">
      <c r="B29" s="1" t="s">
        <v>8</v>
      </c>
      <c r="F29" s="1">
        <v>0</v>
      </c>
      <c r="G29" s="15"/>
      <c r="H29" s="14">
        <f>CEILING(H28,5)</f>
        <v>650</v>
      </c>
      <c r="I29" s="13">
        <f t="shared" si="5"/>
        <v>120</v>
      </c>
      <c r="J29" s="12">
        <f t="shared" ref="J29:J36" si="7">(($J$37-$J$28)/($H$37-$H$28))*(H29-$H$28)+$J$28</f>
        <v>2.3771428571428572</v>
      </c>
      <c r="K29" s="9">
        <f t="shared" ref="K29:K36" si="8">-J29</f>
        <v>-2.3771428571428572</v>
      </c>
      <c r="L29" s="12">
        <f t="shared" si="0"/>
        <v>7.1314285714285719E-2</v>
      </c>
      <c r="M29" s="9">
        <f t="shared" si="1"/>
        <v>-7.1314285714285719E-2</v>
      </c>
      <c r="N29" s="11">
        <f t="shared" si="2"/>
        <v>120.07131428571428</v>
      </c>
      <c r="O29" s="10">
        <f t="shared" si="3"/>
        <v>120</v>
      </c>
      <c r="P29" s="9">
        <f t="shared" si="4"/>
        <v>119.92868571428572</v>
      </c>
    </row>
    <row r="30" spans="2:16" x14ac:dyDescent="0.25">
      <c r="B30" s="1" t="s">
        <v>7</v>
      </c>
      <c r="C30" s="17">
        <f>C31-C25</f>
        <v>634.75</v>
      </c>
      <c r="F30" s="1">
        <v>0</v>
      </c>
      <c r="G30" s="15"/>
      <c r="H30" s="14">
        <f t="shared" ref="H30:H36" si="9">H29+$C$10</f>
        <v>655</v>
      </c>
      <c r="I30" s="13">
        <f t="shared" si="5"/>
        <v>120</v>
      </c>
      <c r="J30" s="12">
        <f t="shared" si="7"/>
        <v>3.0628571428571432</v>
      </c>
      <c r="K30" s="9">
        <f t="shared" si="8"/>
        <v>-3.0628571428571432</v>
      </c>
      <c r="L30" s="12">
        <f t="shared" si="0"/>
        <v>9.1885714285714293E-2</v>
      </c>
      <c r="M30" s="9">
        <f t="shared" si="1"/>
        <v>-9.1885714285714293E-2</v>
      </c>
      <c r="N30" s="11">
        <f t="shared" si="2"/>
        <v>120.09188571428571</v>
      </c>
      <c r="O30" s="10">
        <f t="shared" si="3"/>
        <v>120</v>
      </c>
      <c r="P30" s="9">
        <f t="shared" si="4"/>
        <v>119.90811428571429</v>
      </c>
    </row>
    <row r="31" spans="2:16" x14ac:dyDescent="0.25">
      <c r="B31" s="1" t="s">
        <v>6</v>
      </c>
      <c r="C31" s="17">
        <f>F9</f>
        <v>641</v>
      </c>
      <c r="F31" s="1">
        <v>0</v>
      </c>
      <c r="G31" s="15"/>
      <c r="H31" s="14">
        <f t="shared" si="9"/>
        <v>660</v>
      </c>
      <c r="I31" s="13">
        <f t="shared" si="5"/>
        <v>120</v>
      </c>
      <c r="J31" s="12">
        <f t="shared" si="7"/>
        <v>3.7485714285714287</v>
      </c>
      <c r="K31" s="9">
        <f t="shared" si="8"/>
        <v>-3.7485714285714287</v>
      </c>
      <c r="L31" s="12">
        <f t="shared" si="0"/>
        <v>0.11245714285714285</v>
      </c>
      <c r="M31" s="9">
        <f t="shared" si="1"/>
        <v>-0.11245714285714285</v>
      </c>
      <c r="N31" s="11">
        <f t="shared" si="2"/>
        <v>120.11245714285714</v>
      </c>
      <c r="O31" s="10">
        <f t="shared" si="3"/>
        <v>120</v>
      </c>
      <c r="P31" s="9">
        <f t="shared" si="4"/>
        <v>119.88754285714286</v>
      </c>
    </row>
    <row r="32" spans="2:16" x14ac:dyDescent="0.25">
      <c r="B32" s="1" t="s">
        <v>5</v>
      </c>
      <c r="C32" s="17">
        <f>C31+C25</f>
        <v>647.25</v>
      </c>
      <c r="F32" s="1">
        <v>0</v>
      </c>
      <c r="G32" s="15"/>
      <c r="H32" s="14">
        <f t="shared" si="9"/>
        <v>665</v>
      </c>
      <c r="I32" s="13">
        <f t="shared" si="5"/>
        <v>120</v>
      </c>
      <c r="J32" s="12">
        <f t="shared" si="7"/>
        <v>4.4342857142857142</v>
      </c>
      <c r="K32" s="9">
        <f t="shared" si="8"/>
        <v>-4.4342857142857142</v>
      </c>
      <c r="L32" s="12">
        <f t="shared" si="0"/>
        <v>0.13302857142857141</v>
      </c>
      <c r="M32" s="9">
        <f t="shared" si="1"/>
        <v>-0.13302857142857141</v>
      </c>
      <c r="N32" s="11">
        <f t="shared" si="2"/>
        <v>120.13302857142857</v>
      </c>
      <c r="O32" s="10">
        <f t="shared" si="3"/>
        <v>120</v>
      </c>
      <c r="P32" s="9">
        <f t="shared" si="4"/>
        <v>119.86697142857143</v>
      </c>
    </row>
    <row r="33" spans="2:16" x14ac:dyDescent="0.25">
      <c r="B33" s="1" t="s">
        <v>4</v>
      </c>
      <c r="C33" s="17">
        <f>F10</f>
        <v>691</v>
      </c>
      <c r="F33" s="1">
        <v>0</v>
      </c>
      <c r="G33" s="15"/>
      <c r="H33" s="14">
        <f t="shared" si="9"/>
        <v>670</v>
      </c>
      <c r="I33" s="13">
        <f t="shared" si="5"/>
        <v>120</v>
      </c>
      <c r="J33" s="12">
        <f t="shared" si="7"/>
        <v>5.12</v>
      </c>
      <c r="K33" s="9">
        <f t="shared" si="8"/>
        <v>-5.12</v>
      </c>
      <c r="L33" s="12">
        <f t="shared" si="0"/>
        <v>0.15359999999999999</v>
      </c>
      <c r="M33" s="9">
        <f t="shared" si="1"/>
        <v>-0.15359999999999999</v>
      </c>
      <c r="N33" s="11">
        <f t="shared" si="2"/>
        <v>120.1536</v>
      </c>
      <c r="O33" s="10">
        <f t="shared" si="3"/>
        <v>120</v>
      </c>
      <c r="P33" s="9">
        <f t="shared" si="4"/>
        <v>119.8464</v>
      </c>
    </row>
    <row r="34" spans="2:16" x14ac:dyDescent="0.25">
      <c r="B34" s="1" t="s">
        <v>3</v>
      </c>
      <c r="C34" s="17">
        <f>F11</f>
        <v>717.53950075817488</v>
      </c>
      <c r="F34" s="1">
        <v>0</v>
      </c>
      <c r="G34" s="15"/>
      <c r="H34" s="14">
        <f t="shared" si="9"/>
        <v>675</v>
      </c>
      <c r="I34" s="13">
        <f t="shared" si="5"/>
        <v>120</v>
      </c>
      <c r="J34" s="12">
        <f t="shared" si="7"/>
        <v>5.805714285714286</v>
      </c>
      <c r="K34" s="9">
        <f t="shared" si="8"/>
        <v>-5.805714285714286</v>
      </c>
      <c r="L34" s="12">
        <f t="shared" si="0"/>
        <v>0.17417142857142856</v>
      </c>
      <c r="M34" s="9">
        <f t="shared" si="1"/>
        <v>-0.17417142857142856</v>
      </c>
      <c r="N34" s="11">
        <f t="shared" si="2"/>
        <v>120.17417142857143</v>
      </c>
      <c r="O34" s="10">
        <f t="shared" si="3"/>
        <v>120</v>
      </c>
      <c r="P34" s="9">
        <f t="shared" si="4"/>
        <v>119.82582857142857</v>
      </c>
    </row>
    <row r="35" spans="2:16" x14ac:dyDescent="0.25">
      <c r="B35" s="1" t="s">
        <v>2</v>
      </c>
      <c r="C35" s="17">
        <f>C36-C25</f>
        <v>761.28950075817488</v>
      </c>
      <c r="F35" s="1">
        <v>0</v>
      </c>
      <c r="G35" s="15"/>
      <c r="H35" s="14">
        <f t="shared" si="9"/>
        <v>680</v>
      </c>
      <c r="I35" s="13">
        <f t="shared" si="5"/>
        <v>120</v>
      </c>
      <c r="J35" s="12">
        <f t="shared" si="7"/>
        <v>6.491428571428572</v>
      </c>
      <c r="K35" s="9">
        <f t="shared" si="8"/>
        <v>-6.491428571428572</v>
      </c>
      <c r="L35" s="12">
        <f t="shared" si="0"/>
        <v>0.19474285714285716</v>
      </c>
      <c r="M35" s="9">
        <f t="shared" si="1"/>
        <v>-0.19474285714285716</v>
      </c>
      <c r="N35" s="11">
        <f t="shared" si="2"/>
        <v>120.19474285714286</v>
      </c>
      <c r="O35" s="10">
        <f t="shared" si="3"/>
        <v>120</v>
      </c>
      <c r="P35" s="9">
        <f t="shared" si="4"/>
        <v>119.80525714285714</v>
      </c>
    </row>
    <row r="36" spans="2:16" x14ac:dyDescent="0.25">
      <c r="B36" s="1" t="s">
        <v>1</v>
      </c>
      <c r="C36" s="17">
        <f>F12</f>
        <v>767.53950075817488</v>
      </c>
      <c r="D36" s="16"/>
      <c r="F36" s="1">
        <v>0</v>
      </c>
      <c r="G36" s="15"/>
      <c r="H36" s="14">
        <f t="shared" si="9"/>
        <v>685</v>
      </c>
      <c r="I36" s="13">
        <f t="shared" si="5"/>
        <v>120</v>
      </c>
      <c r="J36" s="12">
        <f t="shared" si="7"/>
        <v>7.177142857142857</v>
      </c>
      <c r="K36" s="9">
        <f t="shared" si="8"/>
        <v>-7.177142857142857</v>
      </c>
      <c r="L36" s="12">
        <f t="shared" si="0"/>
        <v>0.21531428571428571</v>
      </c>
      <c r="M36" s="9">
        <f t="shared" si="1"/>
        <v>-0.21531428571428571</v>
      </c>
      <c r="N36" s="11">
        <f t="shared" si="2"/>
        <v>120.21531428571429</v>
      </c>
      <c r="O36" s="10">
        <f t="shared" si="3"/>
        <v>120</v>
      </c>
      <c r="P36" s="9">
        <f t="shared" si="4"/>
        <v>119.78468571428571</v>
      </c>
    </row>
    <row r="37" spans="2:16" x14ac:dyDescent="0.25">
      <c r="B37" s="1" t="s">
        <v>0</v>
      </c>
      <c r="C37" s="17">
        <f>C36+C25</f>
        <v>773.78950075817488</v>
      </c>
      <c r="D37" s="16"/>
      <c r="F37" s="1">
        <v>0</v>
      </c>
      <c r="G37" s="15" t="str">
        <f>B33</f>
        <v>D=EC</v>
      </c>
      <c r="H37" s="14">
        <f>C33</f>
        <v>691</v>
      </c>
      <c r="I37" s="13">
        <f t="shared" si="5"/>
        <v>120</v>
      </c>
      <c r="J37" s="12">
        <v>8</v>
      </c>
      <c r="K37" s="9">
        <v>-8</v>
      </c>
      <c r="L37" s="12">
        <f t="shared" si="0"/>
        <v>0.24</v>
      </c>
      <c r="M37" s="9">
        <f t="shared" si="1"/>
        <v>-0.24</v>
      </c>
      <c r="N37" s="11">
        <f t="shared" si="2"/>
        <v>120.24</v>
      </c>
      <c r="O37" s="10">
        <f t="shared" si="3"/>
        <v>120</v>
      </c>
      <c r="P37" s="9">
        <f t="shared" si="4"/>
        <v>119.76</v>
      </c>
    </row>
    <row r="38" spans="2:16" x14ac:dyDescent="0.25">
      <c r="G38" s="15"/>
      <c r="H38" s="14">
        <f>CEILING(H37,5)</f>
        <v>695</v>
      </c>
      <c r="I38" s="13">
        <f t="shared" si="5"/>
        <v>120</v>
      </c>
      <c r="J38" s="12">
        <v>8</v>
      </c>
      <c r="K38" s="9">
        <v>-8</v>
      </c>
      <c r="L38" s="12">
        <f t="shared" si="0"/>
        <v>0.24</v>
      </c>
      <c r="M38" s="9">
        <f t="shared" si="1"/>
        <v>-0.24</v>
      </c>
      <c r="N38" s="11">
        <f t="shared" si="2"/>
        <v>120.24</v>
      </c>
      <c r="O38" s="10">
        <f t="shared" si="3"/>
        <v>120</v>
      </c>
      <c r="P38" s="9">
        <f t="shared" si="4"/>
        <v>119.76</v>
      </c>
    </row>
    <row r="39" spans="2:16" x14ac:dyDescent="0.25">
      <c r="G39" s="15"/>
      <c r="H39" s="14">
        <f>H38+$C$10</f>
        <v>700</v>
      </c>
      <c r="I39" s="13">
        <f t="shared" si="5"/>
        <v>120</v>
      </c>
      <c r="J39" s="12">
        <v>8</v>
      </c>
      <c r="K39" s="9">
        <v>-8</v>
      </c>
      <c r="L39" s="12">
        <f t="shared" si="0"/>
        <v>0.24</v>
      </c>
      <c r="M39" s="9">
        <f t="shared" si="1"/>
        <v>-0.24</v>
      </c>
      <c r="N39" s="11">
        <f t="shared" si="2"/>
        <v>120.24</v>
      </c>
      <c r="O39" s="10">
        <f t="shared" si="3"/>
        <v>120</v>
      </c>
      <c r="P39" s="9">
        <f t="shared" si="4"/>
        <v>119.76</v>
      </c>
    </row>
    <row r="40" spans="2:16" x14ac:dyDescent="0.25">
      <c r="G40" s="15"/>
      <c r="H40" s="14">
        <f>H39+$C$10</f>
        <v>705</v>
      </c>
      <c r="I40" s="13">
        <f t="shared" si="5"/>
        <v>120</v>
      </c>
      <c r="J40" s="12">
        <v>8</v>
      </c>
      <c r="K40" s="9">
        <v>-8</v>
      </c>
      <c r="L40" s="12">
        <f t="shared" si="0"/>
        <v>0.24</v>
      </c>
      <c r="M40" s="9">
        <f t="shared" si="1"/>
        <v>-0.24</v>
      </c>
      <c r="N40" s="11">
        <f t="shared" si="2"/>
        <v>120.24</v>
      </c>
      <c r="O40" s="10">
        <f t="shared" si="3"/>
        <v>120</v>
      </c>
      <c r="P40" s="9">
        <f t="shared" si="4"/>
        <v>119.76</v>
      </c>
    </row>
    <row r="41" spans="2:16" x14ac:dyDescent="0.25">
      <c r="G41" s="15"/>
      <c r="H41" s="14">
        <f>H40+$C$10</f>
        <v>710</v>
      </c>
      <c r="I41" s="13">
        <f t="shared" si="5"/>
        <v>120</v>
      </c>
      <c r="J41" s="12">
        <v>8</v>
      </c>
      <c r="K41" s="9">
        <v>-8</v>
      </c>
      <c r="L41" s="12">
        <f t="shared" si="0"/>
        <v>0.24</v>
      </c>
      <c r="M41" s="9">
        <f t="shared" si="1"/>
        <v>-0.24</v>
      </c>
      <c r="N41" s="11">
        <f t="shared" si="2"/>
        <v>120.24</v>
      </c>
      <c r="O41" s="10">
        <f t="shared" si="3"/>
        <v>120</v>
      </c>
      <c r="P41" s="9">
        <f t="shared" si="4"/>
        <v>119.76</v>
      </c>
    </row>
    <row r="42" spans="2:16" x14ac:dyDescent="0.25">
      <c r="G42" s="15"/>
      <c r="H42" s="14">
        <f>H41+$C$10</f>
        <v>715</v>
      </c>
      <c r="I42" s="13">
        <f t="shared" si="5"/>
        <v>120</v>
      </c>
      <c r="J42" s="12">
        <v>8</v>
      </c>
      <c r="K42" s="9">
        <v>-8</v>
      </c>
      <c r="L42" s="12">
        <f t="shared" si="0"/>
        <v>0.24</v>
      </c>
      <c r="M42" s="9">
        <f t="shared" si="1"/>
        <v>-0.24</v>
      </c>
      <c r="N42" s="11">
        <f t="shared" si="2"/>
        <v>120.24</v>
      </c>
      <c r="O42" s="10">
        <f t="shared" si="3"/>
        <v>120</v>
      </c>
      <c r="P42" s="9">
        <f t="shared" si="4"/>
        <v>119.76</v>
      </c>
    </row>
    <row r="43" spans="2:16" x14ac:dyDescent="0.25">
      <c r="G43" s="15" t="str">
        <f>B34</f>
        <v>E=CE</v>
      </c>
      <c r="H43" s="14">
        <f>C34</f>
        <v>717.53950075817488</v>
      </c>
      <c r="I43" s="13">
        <f t="shared" si="5"/>
        <v>120</v>
      </c>
      <c r="J43" s="12">
        <v>8</v>
      </c>
      <c r="K43" s="9">
        <v>-8</v>
      </c>
      <c r="L43" s="12">
        <f t="shared" si="0"/>
        <v>0.24</v>
      </c>
      <c r="M43" s="9">
        <f t="shared" si="1"/>
        <v>-0.24</v>
      </c>
      <c r="N43" s="11">
        <f t="shared" si="2"/>
        <v>120.24</v>
      </c>
      <c r="O43" s="10">
        <f t="shared" si="3"/>
        <v>120</v>
      </c>
      <c r="P43" s="9">
        <f t="shared" si="4"/>
        <v>119.76</v>
      </c>
    </row>
    <row r="44" spans="2:16" x14ac:dyDescent="0.25">
      <c r="G44" s="15"/>
      <c r="H44" s="14">
        <f>CEILING(H43,5)</f>
        <v>720</v>
      </c>
      <c r="I44" s="13">
        <f t="shared" si="5"/>
        <v>120</v>
      </c>
      <c r="J44" s="12">
        <f t="shared" ref="J44:J51" si="10">(($J$43-$J$52)/($H$43-$H$52))*(H44-$H$52)+$J$52</f>
        <v>7.6625601039782696</v>
      </c>
      <c r="K44" s="9">
        <f t="shared" ref="K44:K51" si="11">-J44</f>
        <v>-7.6625601039782696</v>
      </c>
      <c r="L44" s="12">
        <f t="shared" si="0"/>
        <v>0.22987680311934811</v>
      </c>
      <c r="M44" s="9">
        <f t="shared" si="1"/>
        <v>-0.22987680311934811</v>
      </c>
      <c r="N44" s="11">
        <f t="shared" si="2"/>
        <v>120.22987680311935</v>
      </c>
      <c r="O44" s="10">
        <f t="shared" si="3"/>
        <v>120</v>
      </c>
      <c r="P44" s="9">
        <f t="shared" si="4"/>
        <v>119.77012319688065</v>
      </c>
    </row>
    <row r="45" spans="2:16" x14ac:dyDescent="0.25">
      <c r="G45" s="15"/>
      <c r="H45" s="14">
        <f t="shared" ref="H45:H51" si="12">H44+$C$10</f>
        <v>725</v>
      </c>
      <c r="I45" s="13">
        <f t="shared" si="5"/>
        <v>120</v>
      </c>
      <c r="J45" s="12">
        <f t="shared" si="10"/>
        <v>6.9768458182639836</v>
      </c>
      <c r="K45" s="9">
        <f t="shared" si="11"/>
        <v>-6.9768458182639836</v>
      </c>
      <c r="L45" s="12">
        <f t="shared" si="0"/>
        <v>0.20930537454791953</v>
      </c>
      <c r="M45" s="9">
        <f t="shared" si="1"/>
        <v>-0.20930537454791953</v>
      </c>
      <c r="N45" s="11">
        <f t="shared" si="2"/>
        <v>120.20930537454792</v>
      </c>
      <c r="O45" s="10">
        <f t="shared" si="3"/>
        <v>120</v>
      </c>
      <c r="P45" s="9">
        <f t="shared" si="4"/>
        <v>119.79069462545208</v>
      </c>
    </row>
    <row r="46" spans="2:16" x14ac:dyDescent="0.25">
      <c r="G46" s="15"/>
      <c r="H46" s="14">
        <f t="shared" si="12"/>
        <v>730</v>
      </c>
      <c r="I46" s="13">
        <f t="shared" si="5"/>
        <v>120</v>
      </c>
      <c r="J46" s="12">
        <f t="shared" si="10"/>
        <v>6.2911315325496986</v>
      </c>
      <c r="K46" s="9">
        <f t="shared" si="11"/>
        <v>-6.2911315325496986</v>
      </c>
      <c r="L46" s="12">
        <f t="shared" si="0"/>
        <v>0.18873394597649096</v>
      </c>
      <c r="M46" s="9">
        <f t="shared" si="1"/>
        <v>-0.18873394597649096</v>
      </c>
      <c r="N46" s="11">
        <f t="shared" si="2"/>
        <v>120.18873394597649</v>
      </c>
      <c r="O46" s="10">
        <f t="shared" si="3"/>
        <v>120</v>
      </c>
      <c r="P46" s="9">
        <f t="shared" si="4"/>
        <v>119.81126605402351</v>
      </c>
    </row>
    <row r="47" spans="2:16" x14ac:dyDescent="0.25">
      <c r="G47" s="15"/>
      <c r="H47" s="14">
        <f t="shared" si="12"/>
        <v>735</v>
      </c>
      <c r="I47" s="13">
        <f t="shared" si="5"/>
        <v>120</v>
      </c>
      <c r="J47" s="12">
        <f t="shared" si="10"/>
        <v>5.6054172468354126</v>
      </c>
      <c r="K47" s="9">
        <f t="shared" si="11"/>
        <v>-5.6054172468354126</v>
      </c>
      <c r="L47" s="12">
        <f t="shared" si="0"/>
        <v>0.16816251740506238</v>
      </c>
      <c r="M47" s="9">
        <f t="shared" si="1"/>
        <v>-0.16816251740506238</v>
      </c>
      <c r="N47" s="11">
        <f t="shared" si="2"/>
        <v>120.16816251740507</v>
      </c>
      <c r="O47" s="10">
        <f t="shared" si="3"/>
        <v>120</v>
      </c>
      <c r="P47" s="9">
        <f t="shared" si="4"/>
        <v>119.83183748259493</v>
      </c>
    </row>
    <row r="48" spans="2:16" x14ac:dyDescent="0.25">
      <c r="G48" s="15"/>
      <c r="H48" s="14">
        <f t="shared" si="12"/>
        <v>740</v>
      </c>
      <c r="I48" s="13">
        <f t="shared" si="5"/>
        <v>120</v>
      </c>
      <c r="J48" s="12">
        <f t="shared" si="10"/>
        <v>4.9197029611211267</v>
      </c>
      <c r="K48" s="9">
        <f t="shared" si="11"/>
        <v>-4.9197029611211267</v>
      </c>
      <c r="L48" s="12">
        <f t="shared" si="0"/>
        <v>0.14759108883363381</v>
      </c>
      <c r="M48" s="9">
        <f t="shared" si="1"/>
        <v>-0.14759108883363381</v>
      </c>
      <c r="N48" s="11">
        <f t="shared" si="2"/>
        <v>120.14759108883364</v>
      </c>
      <c r="O48" s="10">
        <f t="shared" si="3"/>
        <v>120</v>
      </c>
      <c r="P48" s="9">
        <f t="shared" si="4"/>
        <v>119.85240891116636</v>
      </c>
    </row>
    <row r="49" spans="7:16" x14ac:dyDescent="0.25">
      <c r="G49" s="15"/>
      <c r="H49" s="14">
        <f t="shared" si="12"/>
        <v>745</v>
      </c>
      <c r="I49" s="13">
        <f t="shared" si="5"/>
        <v>120</v>
      </c>
      <c r="J49" s="12">
        <f t="shared" si="10"/>
        <v>4.2339886754068417</v>
      </c>
      <c r="K49" s="9">
        <f t="shared" si="11"/>
        <v>-4.2339886754068417</v>
      </c>
      <c r="L49" s="12">
        <f t="shared" si="0"/>
        <v>0.12701966026220524</v>
      </c>
      <c r="M49" s="9">
        <f t="shared" si="1"/>
        <v>-0.12701966026220524</v>
      </c>
      <c r="N49" s="11">
        <f t="shared" si="2"/>
        <v>120.12701966026221</v>
      </c>
      <c r="O49" s="10">
        <f t="shared" si="3"/>
        <v>120</v>
      </c>
      <c r="P49" s="9">
        <f t="shared" si="4"/>
        <v>119.87298033973779</v>
      </c>
    </row>
    <row r="50" spans="7:16" x14ac:dyDescent="0.25">
      <c r="G50" s="15"/>
      <c r="H50" s="14">
        <f t="shared" si="12"/>
        <v>750</v>
      </c>
      <c r="I50" s="13">
        <f t="shared" si="5"/>
        <v>120</v>
      </c>
      <c r="J50" s="12">
        <f t="shared" si="10"/>
        <v>3.5482743896925553</v>
      </c>
      <c r="K50" s="9">
        <f t="shared" si="11"/>
        <v>-3.5482743896925553</v>
      </c>
      <c r="L50" s="12">
        <f t="shared" si="0"/>
        <v>0.10644823169077666</v>
      </c>
      <c r="M50" s="9">
        <f t="shared" si="1"/>
        <v>-0.10644823169077666</v>
      </c>
      <c r="N50" s="11">
        <f t="shared" si="2"/>
        <v>120.10644823169078</v>
      </c>
      <c r="O50" s="10">
        <f t="shared" si="3"/>
        <v>120</v>
      </c>
      <c r="P50" s="9">
        <f t="shared" si="4"/>
        <v>119.89355176830922</v>
      </c>
    </row>
    <row r="51" spans="7:16" x14ac:dyDescent="0.25">
      <c r="G51" s="15"/>
      <c r="H51" s="14">
        <f t="shared" si="12"/>
        <v>755</v>
      </c>
      <c r="I51" s="13">
        <f t="shared" si="5"/>
        <v>120</v>
      </c>
      <c r="J51" s="12">
        <f t="shared" si="10"/>
        <v>2.8625601039782698</v>
      </c>
      <c r="K51" s="9">
        <f t="shared" si="11"/>
        <v>-2.8625601039782698</v>
      </c>
      <c r="L51" s="12">
        <f t="shared" si="0"/>
        <v>8.5876803119348089E-2</v>
      </c>
      <c r="M51" s="9">
        <f t="shared" si="1"/>
        <v>-8.5876803119348089E-2</v>
      </c>
      <c r="N51" s="11">
        <f t="shared" si="2"/>
        <v>120.08587680311935</v>
      </c>
      <c r="O51" s="10">
        <f t="shared" si="3"/>
        <v>120</v>
      </c>
      <c r="P51" s="9">
        <f t="shared" si="4"/>
        <v>119.91412319688065</v>
      </c>
    </row>
    <row r="52" spans="7:16" x14ac:dyDescent="0.25">
      <c r="G52" s="15" t="str">
        <f>B35</f>
        <v>F</v>
      </c>
      <c r="H52" s="14">
        <f>C35</f>
        <v>761.28950075817488</v>
      </c>
      <c r="I52" s="13">
        <f t="shared" si="5"/>
        <v>120</v>
      </c>
      <c r="J52" s="12">
        <v>2</v>
      </c>
      <c r="K52" s="9">
        <v>-2</v>
      </c>
      <c r="L52" s="12">
        <f t="shared" si="0"/>
        <v>0.06</v>
      </c>
      <c r="M52" s="9">
        <f t="shared" si="1"/>
        <v>-0.06</v>
      </c>
      <c r="N52" s="11">
        <f t="shared" si="2"/>
        <v>120.06</v>
      </c>
      <c r="O52" s="10">
        <f t="shared" si="3"/>
        <v>120</v>
      </c>
      <c r="P52" s="9">
        <f t="shared" si="4"/>
        <v>119.94</v>
      </c>
    </row>
    <row r="53" spans="7:16" x14ac:dyDescent="0.25">
      <c r="G53" s="15"/>
      <c r="H53" s="14">
        <f>CEILING(H52,5)</f>
        <v>765</v>
      </c>
      <c r="I53" s="13">
        <f t="shared" si="5"/>
        <v>120</v>
      </c>
      <c r="J53" s="12">
        <f t="shared" ref="J53:J58" si="13">(($J$59-$J$52)/($H$59-$H$52))*(H53-$H$52)+$J$52</f>
        <v>0.81264024261596202</v>
      </c>
      <c r="K53" s="9">
        <v>-2</v>
      </c>
      <c r="L53" s="12">
        <f t="shared" si="0"/>
        <v>2.4379207278478861E-2</v>
      </c>
      <c r="M53" s="9">
        <f t="shared" si="1"/>
        <v>-0.06</v>
      </c>
      <c r="N53" s="11">
        <f t="shared" si="2"/>
        <v>120.02437920727849</v>
      </c>
      <c r="O53" s="10">
        <f t="shared" si="3"/>
        <v>120</v>
      </c>
      <c r="P53" s="9">
        <f t="shared" si="4"/>
        <v>119.94</v>
      </c>
    </row>
    <row r="54" spans="7:16" x14ac:dyDescent="0.25">
      <c r="G54" s="15"/>
      <c r="H54" s="14">
        <f>H53+$C$10</f>
        <v>770</v>
      </c>
      <c r="I54" s="13">
        <f t="shared" si="5"/>
        <v>120</v>
      </c>
      <c r="J54" s="12">
        <f t="shared" si="13"/>
        <v>-0.78735975738403807</v>
      </c>
      <c r="K54" s="9">
        <v>-2</v>
      </c>
      <c r="L54" s="12">
        <f t="shared" si="0"/>
        <v>-2.3620792721521143E-2</v>
      </c>
      <c r="M54" s="9">
        <f t="shared" si="1"/>
        <v>-0.06</v>
      </c>
      <c r="N54" s="11">
        <f t="shared" si="2"/>
        <v>119.97637920727848</v>
      </c>
      <c r="O54" s="10">
        <f t="shared" si="3"/>
        <v>120</v>
      </c>
      <c r="P54" s="9">
        <f t="shared" si="4"/>
        <v>119.94</v>
      </c>
    </row>
    <row r="55" spans="7:16" x14ac:dyDescent="0.25">
      <c r="G55" s="15" t="str">
        <f>B36</f>
        <v>G=ET</v>
      </c>
      <c r="H55" s="14">
        <f>C36</f>
        <v>767.53950075817488</v>
      </c>
      <c r="I55" s="13">
        <f t="shared" si="5"/>
        <v>120</v>
      </c>
      <c r="J55" s="12">
        <f t="shared" si="13"/>
        <v>0</v>
      </c>
      <c r="K55" s="9">
        <v>-2</v>
      </c>
      <c r="L55" s="12">
        <f t="shared" si="0"/>
        <v>0</v>
      </c>
      <c r="M55" s="9">
        <f t="shared" si="1"/>
        <v>-0.06</v>
      </c>
      <c r="N55" s="11">
        <f t="shared" si="2"/>
        <v>120</v>
      </c>
      <c r="O55" s="10">
        <f t="shared" si="3"/>
        <v>120</v>
      </c>
      <c r="P55" s="9">
        <f t="shared" si="4"/>
        <v>119.94</v>
      </c>
    </row>
    <row r="56" spans="7:16" x14ac:dyDescent="0.25">
      <c r="G56" s="15"/>
      <c r="H56" s="14">
        <f>CEILING(H55,5)</f>
        <v>770</v>
      </c>
      <c r="I56" s="13">
        <f t="shared" si="5"/>
        <v>120</v>
      </c>
      <c r="J56" s="12">
        <f t="shared" si="13"/>
        <v>-0.78735975738403807</v>
      </c>
      <c r="K56" s="9">
        <v>-2</v>
      </c>
      <c r="L56" s="12">
        <f t="shared" si="0"/>
        <v>-2.3620792721521143E-2</v>
      </c>
      <c r="M56" s="9">
        <f t="shared" si="1"/>
        <v>-0.06</v>
      </c>
      <c r="N56" s="11">
        <f t="shared" si="2"/>
        <v>119.97637920727848</v>
      </c>
      <c r="O56" s="10">
        <f t="shared" si="3"/>
        <v>120</v>
      </c>
      <c r="P56" s="9">
        <f t="shared" si="4"/>
        <v>119.94</v>
      </c>
    </row>
    <row r="57" spans="7:16" x14ac:dyDescent="0.25">
      <c r="G57" s="15"/>
      <c r="H57" s="14">
        <f>H56+$C$10</f>
        <v>775</v>
      </c>
      <c r="I57" s="13">
        <f t="shared" si="5"/>
        <v>120</v>
      </c>
      <c r="J57" s="12">
        <f t="shared" si="13"/>
        <v>-2.3873597573840382</v>
      </c>
      <c r="K57" s="9">
        <v>-2</v>
      </c>
      <c r="L57" s="12">
        <f t="shared" si="0"/>
        <v>-7.1620792721521151E-2</v>
      </c>
      <c r="M57" s="9">
        <f t="shared" si="1"/>
        <v>-0.06</v>
      </c>
      <c r="N57" s="11">
        <f t="shared" si="2"/>
        <v>119.92837920727848</v>
      </c>
      <c r="O57" s="10">
        <f t="shared" si="3"/>
        <v>120</v>
      </c>
      <c r="P57" s="9">
        <f t="shared" si="4"/>
        <v>119.94</v>
      </c>
    </row>
    <row r="58" spans="7:16" x14ac:dyDescent="0.25">
      <c r="G58" s="15"/>
      <c r="H58" s="14">
        <f>H57+$C$10</f>
        <v>780</v>
      </c>
      <c r="I58" s="13">
        <f t="shared" si="5"/>
        <v>120</v>
      </c>
      <c r="J58" s="12">
        <f t="shared" si="13"/>
        <v>-3.9873597573840378</v>
      </c>
      <c r="K58" s="9">
        <v>-2</v>
      </c>
      <c r="L58" s="12">
        <f t="shared" si="0"/>
        <v>-0.11962079272152114</v>
      </c>
      <c r="M58" s="9">
        <f t="shared" si="1"/>
        <v>-0.06</v>
      </c>
      <c r="N58" s="11">
        <f t="shared" si="2"/>
        <v>119.88037920727848</v>
      </c>
      <c r="O58" s="10">
        <f t="shared" si="3"/>
        <v>120</v>
      </c>
      <c r="P58" s="9">
        <f t="shared" si="4"/>
        <v>119.94</v>
      </c>
    </row>
    <row r="59" spans="7:16" ht="15.6" thickBot="1" x14ac:dyDescent="0.3">
      <c r="G59" s="8" t="str">
        <f>B37</f>
        <v>H</v>
      </c>
      <c r="H59" s="7">
        <f>C37</f>
        <v>773.78950075817488</v>
      </c>
      <c r="I59" s="6">
        <f t="shared" si="5"/>
        <v>120</v>
      </c>
      <c r="J59" s="5">
        <v>-2</v>
      </c>
      <c r="K59" s="2">
        <v>-2</v>
      </c>
      <c r="L59" s="5">
        <f t="shared" si="0"/>
        <v>-0.06</v>
      </c>
      <c r="M59" s="2">
        <f t="shared" si="1"/>
        <v>-0.06</v>
      </c>
      <c r="N59" s="4">
        <f t="shared" si="2"/>
        <v>119.94</v>
      </c>
      <c r="O59" s="3">
        <f t="shared" si="3"/>
        <v>120</v>
      </c>
      <c r="P59" s="2">
        <f t="shared" si="4"/>
        <v>119.94</v>
      </c>
    </row>
    <row r="62" spans="7:16" ht="15.6" thickBot="1" x14ac:dyDescent="0.3"/>
    <row r="63" spans="7:16" ht="15.6" thickBot="1" x14ac:dyDescent="0.3">
      <c r="G63" s="30" t="s">
        <v>23</v>
      </c>
      <c r="H63" s="30" t="s">
        <v>22</v>
      </c>
      <c r="I63" s="30" t="s">
        <v>16</v>
      </c>
      <c r="J63" s="29" t="s">
        <v>21</v>
      </c>
      <c r="K63" s="26" t="s">
        <v>20</v>
      </c>
      <c r="L63" s="29" t="s">
        <v>19</v>
      </c>
      <c r="M63" s="26" t="s">
        <v>18</v>
      </c>
      <c r="N63" s="28" t="s">
        <v>17</v>
      </c>
      <c r="O63" s="27" t="s">
        <v>16</v>
      </c>
      <c r="P63" s="26" t="s">
        <v>15</v>
      </c>
    </row>
    <row r="64" spans="7:16" x14ac:dyDescent="0.25">
      <c r="G64" s="25" t="s">
        <v>7</v>
      </c>
      <c r="H64" s="24">
        <f>C73</f>
        <v>0</v>
      </c>
      <c r="I64" s="23">
        <v>120</v>
      </c>
      <c r="J64" s="22">
        <v>-2</v>
      </c>
      <c r="K64" s="19">
        <v>-2</v>
      </c>
      <c r="L64" s="22">
        <f t="shared" ref="L64:L102" si="14">($C$7*J64)/100</f>
        <v>-0.06</v>
      </c>
      <c r="M64" s="19">
        <f t="shared" ref="M64:M102" si="15">($C$7*K64)/100</f>
        <v>-0.06</v>
      </c>
      <c r="N64" s="21">
        <f t="shared" ref="N64:N102" si="16">O64+L64</f>
        <v>119.94</v>
      </c>
      <c r="O64" s="20">
        <f t="shared" ref="O64" si="17">I64</f>
        <v>120</v>
      </c>
      <c r="P64" s="19">
        <f t="shared" ref="P64:P102" si="18">O64+M64</f>
        <v>119.94</v>
      </c>
    </row>
    <row r="65" spans="7:16" x14ac:dyDescent="0.25">
      <c r="G65" s="15"/>
      <c r="H65" s="14">
        <f>CEILING(H64,5)</f>
        <v>0</v>
      </c>
      <c r="I65" s="13">
        <f>(H65-H64)*$C$90+I64</f>
        <v>120</v>
      </c>
      <c r="J65" s="12">
        <f t="shared" ref="J65:J70" si="19">(($J$28-$J$21)/($H$28-$H$21))*(H65-$H$21)+$J$21</f>
        <v>-205.12</v>
      </c>
      <c r="K65" s="9">
        <v>-2</v>
      </c>
      <c r="L65" s="12">
        <f t="shared" si="14"/>
        <v>-6.1536</v>
      </c>
      <c r="M65" s="9">
        <f t="shared" si="15"/>
        <v>-0.06</v>
      </c>
      <c r="N65" s="11">
        <f t="shared" si="16"/>
        <v>113.8464</v>
      </c>
      <c r="O65" s="10">
        <f>I65</f>
        <v>120</v>
      </c>
      <c r="P65" s="9">
        <f t="shared" si="18"/>
        <v>119.94</v>
      </c>
    </row>
    <row r="66" spans="7:16" x14ac:dyDescent="0.25">
      <c r="G66" s="15"/>
      <c r="H66" s="14">
        <f>H65+$C$10</f>
        <v>5</v>
      </c>
      <c r="I66" s="13">
        <f t="shared" ref="I66:I102" si="20">(H66-H65)*$C$90+I65</f>
        <v>120</v>
      </c>
      <c r="J66" s="12">
        <f t="shared" si="19"/>
        <v>-203.52</v>
      </c>
      <c r="K66" s="9">
        <v>-2</v>
      </c>
      <c r="L66" s="12">
        <f t="shared" si="14"/>
        <v>-6.1056000000000008</v>
      </c>
      <c r="M66" s="9">
        <f t="shared" si="15"/>
        <v>-0.06</v>
      </c>
      <c r="N66" s="11">
        <f t="shared" si="16"/>
        <v>113.8944</v>
      </c>
      <c r="O66" s="10">
        <f t="shared" ref="O66:O102" si="21">I66</f>
        <v>120</v>
      </c>
      <c r="P66" s="9">
        <f t="shared" si="18"/>
        <v>119.94</v>
      </c>
    </row>
    <row r="67" spans="7:16" x14ac:dyDescent="0.25">
      <c r="G67" s="15"/>
      <c r="H67" s="14">
        <f>H66+$C$10</f>
        <v>10</v>
      </c>
      <c r="I67" s="13">
        <f t="shared" si="20"/>
        <v>120</v>
      </c>
      <c r="J67" s="12">
        <f t="shared" si="19"/>
        <v>-201.92000000000002</v>
      </c>
      <c r="K67" s="9">
        <v>-2</v>
      </c>
      <c r="L67" s="12">
        <f t="shared" si="14"/>
        <v>-6.0575999999999999</v>
      </c>
      <c r="M67" s="9">
        <f t="shared" si="15"/>
        <v>-0.06</v>
      </c>
      <c r="N67" s="11">
        <f t="shared" si="16"/>
        <v>113.94240000000001</v>
      </c>
      <c r="O67" s="10">
        <f t="shared" si="21"/>
        <v>120</v>
      </c>
      <c r="P67" s="9">
        <f t="shared" si="18"/>
        <v>119.94</v>
      </c>
    </row>
    <row r="68" spans="7:16" x14ac:dyDescent="0.25">
      <c r="G68" s="15">
        <f>B74</f>
        <v>0</v>
      </c>
      <c r="H68" s="14">
        <f>C74</f>
        <v>0</v>
      </c>
      <c r="I68" s="13">
        <f t="shared" si="20"/>
        <v>120</v>
      </c>
      <c r="J68" s="12">
        <f t="shared" si="19"/>
        <v>-205.12</v>
      </c>
      <c r="K68" s="9">
        <v>-2</v>
      </c>
      <c r="L68" s="12">
        <f t="shared" si="14"/>
        <v>-6.1536</v>
      </c>
      <c r="M68" s="9">
        <f t="shared" si="15"/>
        <v>-0.06</v>
      </c>
      <c r="N68" s="11">
        <f t="shared" si="16"/>
        <v>113.8464</v>
      </c>
      <c r="O68" s="10">
        <f t="shared" si="21"/>
        <v>120</v>
      </c>
      <c r="P68" s="9">
        <f t="shared" si="18"/>
        <v>119.94</v>
      </c>
    </row>
    <row r="69" spans="7:16" x14ac:dyDescent="0.25">
      <c r="G69" s="15"/>
      <c r="H69" s="14">
        <f>CEILING(H68,5)</f>
        <v>0</v>
      </c>
      <c r="I69" s="13">
        <f t="shared" si="20"/>
        <v>120</v>
      </c>
      <c r="J69" s="12">
        <f t="shared" si="19"/>
        <v>-205.12</v>
      </c>
      <c r="K69" s="9">
        <v>-2</v>
      </c>
      <c r="L69" s="12">
        <f t="shared" si="14"/>
        <v>-6.1536</v>
      </c>
      <c r="M69" s="9">
        <f t="shared" si="15"/>
        <v>-0.06</v>
      </c>
      <c r="N69" s="11">
        <f t="shared" si="16"/>
        <v>113.8464</v>
      </c>
      <c r="O69" s="10">
        <f t="shared" si="21"/>
        <v>120</v>
      </c>
      <c r="P69" s="9">
        <f t="shared" si="18"/>
        <v>119.94</v>
      </c>
    </row>
    <row r="70" spans="7:16" x14ac:dyDescent="0.25">
      <c r="G70" s="15"/>
      <c r="H70" s="14">
        <f>H69+$C$10</f>
        <v>5</v>
      </c>
      <c r="I70" s="13">
        <f t="shared" si="20"/>
        <v>120</v>
      </c>
      <c r="J70" s="12">
        <f t="shared" si="19"/>
        <v>-203.52</v>
      </c>
      <c r="K70" s="9">
        <v>-2</v>
      </c>
      <c r="L70" s="12">
        <f t="shared" si="14"/>
        <v>-6.1056000000000008</v>
      </c>
      <c r="M70" s="9">
        <f t="shared" si="15"/>
        <v>-0.06</v>
      </c>
      <c r="N70" s="11">
        <f t="shared" si="16"/>
        <v>113.8944</v>
      </c>
      <c r="O70" s="10">
        <f t="shared" si="21"/>
        <v>120</v>
      </c>
      <c r="P70" s="9">
        <f t="shared" si="18"/>
        <v>119.94</v>
      </c>
    </row>
    <row r="71" spans="7:16" x14ac:dyDescent="0.25">
      <c r="G71" s="15">
        <f>B75</f>
        <v>0</v>
      </c>
      <c r="H71" s="14">
        <f>C75</f>
        <v>0</v>
      </c>
      <c r="I71" s="13">
        <f t="shared" si="20"/>
        <v>120</v>
      </c>
      <c r="J71" s="12">
        <v>2</v>
      </c>
      <c r="K71" s="9">
        <v>-2</v>
      </c>
      <c r="L71" s="12">
        <f t="shared" si="14"/>
        <v>0.06</v>
      </c>
      <c r="M71" s="9">
        <f t="shared" si="15"/>
        <v>-0.06</v>
      </c>
      <c r="N71" s="11">
        <f t="shared" si="16"/>
        <v>120.06</v>
      </c>
      <c r="O71" s="10">
        <f t="shared" si="21"/>
        <v>120</v>
      </c>
      <c r="P71" s="9">
        <f t="shared" si="18"/>
        <v>119.94</v>
      </c>
    </row>
    <row r="72" spans="7:16" x14ac:dyDescent="0.25">
      <c r="G72" s="15"/>
      <c r="H72" s="14">
        <f>CEILING(H71,5)</f>
        <v>0</v>
      </c>
      <c r="I72" s="13">
        <f t="shared" si="20"/>
        <v>120</v>
      </c>
      <c r="J72" s="12">
        <f t="shared" ref="J72:J79" si="22">(($J$37-$J$28)/($H$37-$H$28))*(H72-$H$28)+$J$28</f>
        <v>-86.765714285714296</v>
      </c>
      <c r="K72" s="9">
        <f t="shared" ref="K72:K79" si="23">-J72</f>
        <v>86.765714285714296</v>
      </c>
      <c r="L72" s="12">
        <f t="shared" si="14"/>
        <v>-2.6029714285714287</v>
      </c>
      <c r="M72" s="9">
        <f t="shared" si="15"/>
        <v>2.6029714285714287</v>
      </c>
      <c r="N72" s="11">
        <f t="shared" si="16"/>
        <v>117.39702857142858</v>
      </c>
      <c r="O72" s="10">
        <f t="shared" si="21"/>
        <v>120</v>
      </c>
      <c r="P72" s="9">
        <f t="shared" si="18"/>
        <v>122.60297142857142</v>
      </c>
    </row>
    <row r="73" spans="7:16" x14ac:dyDescent="0.25">
      <c r="G73" s="15"/>
      <c r="H73" s="14">
        <f t="shared" ref="H73:H79" si="24">H72+$C$10</f>
        <v>5</v>
      </c>
      <c r="I73" s="13">
        <f t="shared" si="20"/>
        <v>120</v>
      </c>
      <c r="J73" s="12">
        <f t="shared" si="22"/>
        <v>-86.08</v>
      </c>
      <c r="K73" s="9">
        <f t="shared" si="23"/>
        <v>86.08</v>
      </c>
      <c r="L73" s="12">
        <f t="shared" si="14"/>
        <v>-2.5824000000000003</v>
      </c>
      <c r="M73" s="9">
        <f t="shared" si="15"/>
        <v>2.5824000000000003</v>
      </c>
      <c r="N73" s="11">
        <f t="shared" si="16"/>
        <v>117.41759999999999</v>
      </c>
      <c r="O73" s="10">
        <f t="shared" si="21"/>
        <v>120</v>
      </c>
      <c r="P73" s="9">
        <f t="shared" si="18"/>
        <v>122.58240000000001</v>
      </c>
    </row>
    <row r="74" spans="7:16" x14ac:dyDescent="0.25">
      <c r="G74" s="15"/>
      <c r="H74" s="14">
        <f t="shared" si="24"/>
        <v>10</v>
      </c>
      <c r="I74" s="13">
        <f t="shared" si="20"/>
        <v>120</v>
      </c>
      <c r="J74" s="12">
        <f t="shared" si="22"/>
        <v>-85.394285714285715</v>
      </c>
      <c r="K74" s="9">
        <f t="shared" si="23"/>
        <v>85.394285714285715</v>
      </c>
      <c r="L74" s="12">
        <f t="shared" si="14"/>
        <v>-2.5618285714285713</v>
      </c>
      <c r="M74" s="9">
        <f t="shared" si="15"/>
        <v>2.5618285714285713</v>
      </c>
      <c r="N74" s="11">
        <f t="shared" si="16"/>
        <v>117.43817142857142</v>
      </c>
      <c r="O74" s="10">
        <f t="shared" si="21"/>
        <v>120</v>
      </c>
      <c r="P74" s="9">
        <f t="shared" si="18"/>
        <v>122.56182857142858</v>
      </c>
    </row>
    <row r="75" spans="7:16" x14ac:dyDescent="0.25">
      <c r="G75" s="15"/>
      <c r="H75" s="14">
        <f t="shared" si="24"/>
        <v>15</v>
      </c>
      <c r="I75" s="13">
        <f t="shared" si="20"/>
        <v>120</v>
      </c>
      <c r="J75" s="12">
        <f t="shared" si="22"/>
        <v>-84.708571428571432</v>
      </c>
      <c r="K75" s="9">
        <f t="shared" si="23"/>
        <v>84.708571428571432</v>
      </c>
      <c r="L75" s="12">
        <f t="shared" si="14"/>
        <v>-2.5412571428571429</v>
      </c>
      <c r="M75" s="9">
        <f t="shared" si="15"/>
        <v>2.5412571428571429</v>
      </c>
      <c r="N75" s="11">
        <f t="shared" si="16"/>
        <v>117.45874285714285</v>
      </c>
      <c r="O75" s="10">
        <f t="shared" si="21"/>
        <v>120</v>
      </c>
      <c r="P75" s="9">
        <f t="shared" si="18"/>
        <v>122.54125714285715</v>
      </c>
    </row>
    <row r="76" spans="7:16" x14ac:dyDescent="0.25">
      <c r="G76" s="15"/>
      <c r="H76" s="14">
        <f t="shared" si="24"/>
        <v>20</v>
      </c>
      <c r="I76" s="13">
        <f t="shared" si="20"/>
        <v>120</v>
      </c>
      <c r="J76" s="12">
        <f t="shared" si="22"/>
        <v>-84.022857142857148</v>
      </c>
      <c r="K76" s="9">
        <f t="shared" si="23"/>
        <v>84.022857142857148</v>
      </c>
      <c r="L76" s="12">
        <f t="shared" si="14"/>
        <v>-2.5206857142857144</v>
      </c>
      <c r="M76" s="9">
        <f t="shared" si="15"/>
        <v>2.5206857142857144</v>
      </c>
      <c r="N76" s="11">
        <f t="shared" si="16"/>
        <v>117.47931428571428</v>
      </c>
      <c r="O76" s="10">
        <f t="shared" si="21"/>
        <v>120</v>
      </c>
      <c r="P76" s="9">
        <f t="shared" si="18"/>
        <v>122.52068571428572</v>
      </c>
    </row>
    <row r="77" spans="7:16" x14ac:dyDescent="0.25">
      <c r="G77" s="15"/>
      <c r="H77" s="14">
        <f t="shared" si="24"/>
        <v>25</v>
      </c>
      <c r="I77" s="13">
        <f t="shared" si="20"/>
        <v>120</v>
      </c>
      <c r="J77" s="12">
        <f t="shared" si="22"/>
        <v>-83.337142857142865</v>
      </c>
      <c r="K77" s="9">
        <f t="shared" si="23"/>
        <v>83.337142857142865</v>
      </c>
      <c r="L77" s="12">
        <f t="shared" si="14"/>
        <v>-2.500114285714286</v>
      </c>
      <c r="M77" s="9">
        <f t="shared" si="15"/>
        <v>2.500114285714286</v>
      </c>
      <c r="N77" s="11">
        <f t="shared" si="16"/>
        <v>117.49988571428571</v>
      </c>
      <c r="O77" s="10">
        <f t="shared" si="21"/>
        <v>120</v>
      </c>
      <c r="P77" s="9">
        <f t="shared" si="18"/>
        <v>122.50011428571429</v>
      </c>
    </row>
    <row r="78" spans="7:16" x14ac:dyDescent="0.25">
      <c r="G78" s="15"/>
      <c r="H78" s="14">
        <f t="shared" si="24"/>
        <v>30</v>
      </c>
      <c r="I78" s="13">
        <f t="shared" si="20"/>
        <v>120</v>
      </c>
      <c r="J78" s="12">
        <f t="shared" si="22"/>
        <v>-82.651428571428582</v>
      </c>
      <c r="K78" s="9">
        <f t="shared" si="23"/>
        <v>82.651428571428582</v>
      </c>
      <c r="L78" s="12">
        <f t="shared" si="14"/>
        <v>-2.4795428571428575</v>
      </c>
      <c r="M78" s="9">
        <f t="shared" si="15"/>
        <v>2.4795428571428575</v>
      </c>
      <c r="N78" s="11">
        <f t="shared" si="16"/>
        <v>117.52045714285714</v>
      </c>
      <c r="O78" s="10">
        <f t="shared" si="21"/>
        <v>120</v>
      </c>
      <c r="P78" s="9">
        <f t="shared" si="18"/>
        <v>122.47954285714286</v>
      </c>
    </row>
    <row r="79" spans="7:16" x14ac:dyDescent="0.25">
      <c r="G79" s="15"/>
      <c r="H79" s="14">
        <f t="shared" si="24"/>
        <v>35</v>
      </c>
      <c r="I79" s="13">
        <f t="shared" si="20"/>
        <v>120</v>
      </c>
      <c r="J79" s="12">
        <f t="shared" si="22"/>
        <v>-81.965714285714284</v>
      </c>
      <c r="K79" s="9">
        <f t="shared" si="23"/>
        <v>81.965714285714284</v>
      </c>
      <c r="L79" s="12">
        <f t="shared" si="14"/>
        <v>-2.4589714285714286</v>
      </c>
      <c r="M79" s="9">
        <f t="shared" si="15"/>
        <v>2.4589714285714286</v>
      </c>
      <c r="N79" s="11">
        <f t="shared" si="16"/>
        <v>117.54102857142857</v>
      </c>
      <c r="O79" s="10">
        <f t="shared" si="21"/>
        <v>120</v>
      </c>
      <c r="P79" s="9">
        <f t="shared" si="18"/>
        <v>122.45897142857143</v>
      </c>
    </row>
    <row r="80" spans="7:16" x14ac:dyDescent="0.25">
      <c r="G80" s="15">
        <f>B76</f>
        <v>0</v>
      </c>
      <c r="H80" s="14">
        <f>C76</f>
        <v>0</v>
      </c>
      <c r="I80" s="13">
        <f t="shared" si="20"/>
        <v>120</v>
      </c>
      <c r="J80" s="12">
        <v>8</v>
      </c>
      <c r="K80" s="9">
        <v>-8</v>
      </c>
      <c r="L80" s="12">
        <f t="shared" si="14"/>
        <v>0.24</v>
      </c>
      <c r="M80" s="9">
        <f t="shared" si="15"/>
        <v>-0.24</v>
      </c>
      <c r="N80" s="11">
        <f t="shared" si="16"/>
        <v>120.24</v>
      </c>
      <c r="O80" s="10">
        <f t="shared" si="21"/>
        <v>120</v>
      </c>
      <c r="P80" s="9">
        <f t="shared" si="18"/>
        <v>119.76</v>
      </c>
    </row>
    <row r="81" spans="7:16" x14ac:dyDescent="0.25">
      <c r="G81" s="15"/>
      <c r="H81" s="14">
        <f>CEILING(H80,5)</f>
        <v>0</v>
      </c>
      <c r="I81" s="13">
        <f t="shared" si="20"/>
        <v>120</v>
      </c>
      <c r="J81" s="12">
        <v>8</v>
      </c>
      <c r="K81" s="9">
        <v>-8</v>
      </c>
      <c r="L81" s="12">
        <f t="shared" si="14"/>
        <v>0.24</v>
      </c>
      <c r="M81" s="9">
        <f t="shared" si="15"/>
        <v>-0.24</v>
      </c>
      <c r="N81" s="11">
        <f t="shared" si="16"/>
        <v>120.24</v>
      </c>
      <c r="O81" s="10">
        <f t="shared" si="21"/>
        <v>120</v>
      </c>
      <c r="P81" s="9">
        <f t="shared" si="18"/>
        <v>119.76</v>
      </c>
    </row>
    <row r="82" spans="7:16" x14ac:dyDescent="0.25">
      <c r="G82" s="15"/>
      <c r="H82" s="14">
        <f>H81+$C$10</f>
        <v>5</v>
      </c>
      <c r="I82" s="13">
        <f t="shared" si="20"/>
        <v>120</v>
      </c>
      <c r="J82" s="12">
        <v>8</v>
      </c>
      <c r="K82" s="9">
        <v>-8</v>
      </c>
      <c r="L82" s="12">
        <f t="shared" si="14"/>
        <v>0.24</v>
      </c>
      <c r="M82" s="9">
        <f t="shared" si="15"/>
        <v>-0.24</v>
      </c>
      <c r="N82" s="11">
        <f t="shared" si="16"/>
        <v>120.24</v>
      </c>
      <c r="O82" s="10">
        <f t="shared" si="21"/>
        <v>120</v>
      </c>
      <c r="P82" s="9">
        <f t="shared" si="18"/>
        <v>119.76</v>
      </c>
    </row>
    <row r="83" spans="7:16" x14ac:dyDescent="0.25">
      <c r="G83" s="15"/>
      <c r="H83" s="14">
        <f>H82+$C$10</f>
        <v>10</v>
      </c>
      <c r="I83" s="13">
        <f t="shared" si="20"/>
        <v>120</v>
      </c>
      <c r="J83" s="12">
        <v>8</v>
      </c>
      <c r="K83" s="9">
        <v>-8</v>
      </c>
      <c r="L83" s="12">
        <f t="shared" si="14"/>
        <v>0.24</v>
      </c>
      <c r="M83" s="9">
        <f t="shared" si="15"/>
        <v>-0.24</v>
      </c>
      <c r="N83" s="11">
        <f t="shared" si="16"/>
        <v>120.24</v>
      </c>
      <c r="O83" s="10">
        <f t="shared" si="21"/>
        <v>120</v>
      </c>
      <c r="P83" s="9">
        <f t="shared" si="18"/>
        <v>119.76</v>
      </c>
    </row>
    <row r="84" spans="7:16" x14ac:dyDescent="0.25">
      <c r="G84" s="15"/>
      <c r="H84" s="14">
        <f>H83+$C$10</f>
        <v>15</v>
      </c>
      <c r="I84" s="13">
        <f t="shared" si="20"/>
        <v>120</v>
      </c>
      <c r="J84" s="12">
        <v>8</v>
      </c>
      <c r="K84" s="9">
        <v>-8</v>
      </c>
      <c r="L84" s="12">
        <f t="shared" si="14"/>
        <v>0.24</v>
      </c>
      <c r="M84" s="9">
        <f t="shared" si="15"/>
        <v>-0.24</v>
      </c>
      <c r="N84" s="11">
        <f t="shared" si="16"/>
        <v>120.24</v>
      </c>
      <c r="O84" s="10">
        <f t="shared" si="21"/>
        <v>120</v>
      </c>
      <c r="P84" s="9">
        <f t="shared" si="18"/>
        <v>119.76</v>
      </c>
    </row>
    <row r="85" spans="7:16" x14ac:dyDescent="0.25">
      <c r="G85" s="15"/>
      <c r="H85" s="14">
        <f>H84+$C$10</f>
        <v>20</v>
      </c>
      <c r="I85" s="13">
        <f t="shared" si="20"/>
        <v>120</v>
      </c>
      <c r="J85" s="12">
        <v>8</v>
      </c>
      <c r="K85" s="9">
        <v>-8</v>
      </c>
      <c r="L85" s="12">
        <f t="shared" si="14"/>
        <v>0.24</v>
      </c>
      <c r="M85" s="9">
        <f t="shared" si="15"/>
        <v>-0.24</v>
      </c>
      <c r="N85" s="11">
        <f t="shared" si="16"/>
        <v>120.24</v>
      </c>
      <c r="O85" s="10">
        <f t="shared" si="21"/>
        <v>120</v>
      </c>
      <c r="P85" s="9">
        <f t="shared" si="18"/>
        <v>119.76</v>
      </c>
    </row>
    <row r="86" spans="7:16" x14ac:dyDescent="0.25">
      <c r="G86" s="15">
        <f>B77</f>
        <v>0</v>
      </c>
      <c r="H86" s="14">
        <f>C77</f>
        <v>0</v>
      </c>
      <c r="I86" s="13">
        <f t="shared" si="20"/>
        <v>120</v>
      </c>
      <c r="J86" s="12">
        <v>8</v>
      </c>
      <c r="K86" s="9">
        <v>-8</v>
      </c>
      <c r="L86" s="12">
        <f t="shared" si="14"/>
        <v>0.24</v>
      </c>
      <c r="M86" s="9">
        <f t="shared" si="15"/>
        <v>-0.24</v>
      </c>
      <c r="N86" s="11">
        <f t="shared" si="16"/>
        <v>120.24</v>
      </c>
      <c r="O86" s="10">
        <f t="shared" si="21"/>
        <v>120</v>
      </c>
      <c r="P86" s="9">
        <f t="shared" si="18"/>
        <v>119.76</v>
      </c>
    </row>
    <row r="87" spans="7:16" x14ac:dyDescent="0.25">
      <c r="G87" s="15"/>
      <c r="H87" s="14">
        <f>CEILING(H86,5)</f>
        <v>0</v>
      </c>
      <c r="I87" s="13">
        <f t="shared" si="20"/>
        <v>120</v>
      </c>
      <c r="J87" s="12">
        <f t="shared" ref="J87:J94" si="25">(($J$43-$J$52)/($H$43-$H$52))*(H87-$H$52)+$J$52</f>
        <v>106.40541724683541</v>
      </c>
      <c r="K87" s="9">
        <f t="shared" ref="K87:K94" si="26">-J87</f>
        <v>-106.40541724683541</v>
      </c>
      <c r="L87" s="12">
        <f t="shared" si="14"/>
        <v>3.1921625174050621</v>
      </c>
      <c r="M87" s="9">
        <f t="shared" si="15"/>
        <v>-3.1921625174050621</v>
      </c>
      <c r="N87" s="11">
        <f t="shared" si="16"/>
        <v>123.19216251740507</v>
      </c>
      <c r="O87" s="10">
        <f t="shared" si="21"/>
        <v>120</v>
      </c>
      <c r="P87" s="9">
        <f t="shared" si="18"/>
        <v>116.80783748259493</v>
      </c>
    </row>
    <row r="88" spans="7:16" x14ac:dyDescent="0.25">
      <c r="G88" s="15"/>
      <c r="H88" s="14">
        <f t="shared" ref="H88:H94" si="27">H87+$C$10</f>
        <v>5</v>
      </c>
      <c r="I88" s="13">
        <f t="shared" si="20"/>
        <v>120</v>
      </c>
      <c r="J88" s="12">
        <f t="shared" si="25"/>
        <v>105.71970296112113</v>
      </c>
      <c r="K88" s="9">
        <f t="shared" si="26"/>
        <v>-105.71970296112113</v>
      </c>
      <c r="L88" s="12">
        <f t="shared" si="14"/>
        <v>3.1715910888336341</v>
      </c>
      <c r="M88" s="9">
        <f t="shared" si="15"/>
        <v>-3.1715910888336341</v>
      </c>
      <c r="N88" s="11">
        <f t="shared" si="16"/>
        <v>123.17159108883364</v>
      </c>
      <c r="O88" s="10">
        <f t="shared" si="21"/>
        <v>120</v>
      </c>
      <c r="P88" s="9">
        <f t="shared" si="18"/>
        <v>116.82840891116636</v>
      </c>
    </row>
    <row r="89" spans="7:16" x14ac:dyDescent="0.25">
      <c r="G89" s="15"/>
      <c r="H89" s="14">
        <f t="shared" si="27"/>
        <v>10</v>
      </c>
      <c r="I89" s="13">
        <f t="shared" si="20"/>
        <v>120</v>
      </c>
      <c r="J89" s="12">
        <f t="shared" si="25"/>
        <v>105.03398867540685</v>
      </c>
      <c r="K89" s="9">
        <f t="shared" si="26"/>
        <v>-105.03398867540685</v>
      </c>
      <c r="L89" s="12">
        <f t="shared" si="14"/>
        <v>3.1510196602622056</v>
      </c>
      <c r="M89" s="9">
        <f t="shared" si="15"/>
        <v>-3.1510196602622056</v>
      </c>
      <c r="N89" s="11">
        <f t="shared" si="16"/>
        <v>123.15101966026221</v>
      </c>
      <c r="O89" s="10">
        <f t="shared" si="21"/>
        <v>120</v>
      </c>
      <c r="P89" s="9">
        <f t="shared" si="18"/>
        <v>116.84898033973779</v>
      </c>
    </row>
    <row r="90" spans="7:16" x14ac:dyDescent="0.25">
      <c r="G90" s="15"/>
      <c r="H90" s="14">
        <f t="shared" si="27"/>
        <v>15</v>
      </c>
      <c r="I90" s="13">
        <f t="shared" si="20"/>
        <v>120</v>
      </c>
      <c r="J90" s="12">
        <f t="shared" si="25"/>
        <v>104.34827438969256</v>
      </c>
      <c r="K90" s="9">
        <f t="shared" si="26"/>
        <v>-104.34827438969256</v>
      </c>
      <c r="L90" s="12">
        <f t="shared" si="14"/>
        <v>3.1304482316907767</v>
      </c>
      <c r="M90" s="9">
        <f t="shared" si="15"/>
        <v>-3.1304482316907767</v>
      </c>
      <c r="N90" s="11">
        <f t="shared" si="16"/>
        <v>123.13044823169078</v>
      </c>
      <c r="O90" s="10">
        <f t="shared" si="21"/>
        <v>120</v>
      </c>
      <c r="P90" s="9">
        <f t="shared" si="18"/>
        <v>116.86955176830922</v>
      </c>
    </row>
    <row r="91" spans="7:16" x14ac:dyDescent="0.25">
      <c r="G91" s="15"/>
      <c r="H91" s="14">
        <f t="shared" si="27"/>
        <v>20</v>
      </c>
      <c r="I91" s="13">
        <f t="shared" si="20"/>
        <v>120</v>
      </c>
      <c r="J91" s="12">
        <f t="shared" si="25"/>
        <v>103.66256010397828</v>
      </c>
      <c r="K91" s="9">
        <f t="shared" si="26"/>
        <v>-103.66256010397828</v>
      </c>
      <c r="L91" s="12">
        <f t="shared" si="14"/>
        <v>3.1098768031193482</v>
      </c>
      <c r="M91" s="9">
        <f t="shared" si="15"/>
        <v>-3.1098768031193482</v>
      </c>
      <c r="N91" s="11">
        <f t="shared" si="16"/>
        <v>123.10987680311935</v>
      </c>
      <c r="O91" s="10">
        <f t="shared" si="21"/>
        <v>120</v>
      </c>
      <c r="P91" s="9">
        <f t="shared" si="18"/>
        <v>116.89012319688065</v>
      </c>
    </row>
    <row r="92" spans="7:16" x14ac:dyDescent="0.25">
      <c r="G92" s="15"/>
      <c r="H92" s="14">
        <f t="shared" si="27"/>
        <v>25</v>
      </c>
      <c r="I92" s="13">
        <f t="shared" si="20"/>
        <v>120</v>
      </c>
      <c r="J92" s="12">
        <f t="shared" si="25"/>
        <v>102.97684581826398</v>
      </c>
      <c r="K92" s="9">
        <f t="shared" si="26"/>
        <v>-102.97684581826398</v>
      </c>
      <c r="L92" s="12">
        <f t="shared" si="14"/>
        <v>3.0893053745479193</v>
      </c>
      <c r="M92" s="9">
        <f t="shared" si="15"/>
        <v>-3.0893053745479193</v>
      </c>
      <c r="N92" s="11">
        <f t="shared" si="16"/>
        <v>123.08930537454792</v>
      </c>
      <c r="O92" s="10">
        <f t="shared" si="21"/>
        <v>120</v>
      </c>
      <c r="P92" s="9">
        <f t="shared" si="18"/>
        <v>116.91069462545208</v>
      </c>
    </row>
    <row r="93" spans="7:16" x14ac:dyDescent="0.25">
      <c r="G93" s="15"/>
      <c r="H93" s="14">
        <f t="shared" si="27"/>
        <v>30</v>
      </c>
      <c r="I93" s="13">
        <f t="shared" si="20"/>
        <v>120</v>
      </c>
      <c r="J93" s="12">
        <f t="shared" si="25"/>
        <v>102.2911315325497</v>
      </c>
      <c r="K93" s="9">
        <f t="shared" si="26"/>
        <v>-102.2911315325497</v>
      </c>
      <c r="L93" s="12">
        <f t="shared" si="14"/>
        <v>3.0687339459764913</v>
      </c>
      <c r="M93" s="9">
        <f t="shared" si="15"/>
        <v>-3.0687339459764913</v>
      </c>
      <c r="N93" s="11">
        <f t="shared" si="16"/>
        <v>123.06873394597649</v>
      </c>
      <c r="O93" s="10">
        <f t="shared" si="21"/>
        <v>120</v>
      </c>
      <c r="P93" s="9">
        <f t="shared" si="18"/>
        <v>116.93126605402351</v>
      </c>
    </row>
    <row r="94" spans="7:16" x14ac:dyDescent="0.25">
      <c r="G94" s="15"/>
      <c r="H94" s="14">
        <f t="shared" si="27"/>
        <v>35</v>
      </c>
      <c r="I94" s="13">
        <f t="shared" si="20"/>
        <v>120</v>
      </c>
      <c r="J94" s="12">
        <f t="shared" si="25"/>
        <v>101.60541724683542</v>
      </c>
      <c r="K94" s="9">
        <f t="shared" si="26"/>
        <v>-101.60541724683542</v>
      </c>
      <c r="L94" s="12">
        <f t="shared" si="14"/>
        <v>3.0481625174050624</v>
      </c>
      <c r="M94" s="9">
        <f t="shared" si="15"/>
        <v>-3.0481625174050624</v>
      </c>
      <c r="N94" s="11">
        <f t="shared" si="16"/>
        <v>123.04816251740506</v>
      </c>
      <c r="O94" s="10">
        <f t="shared" si="21"/>
        <v>120</v>
      </c>
      <c r="P94" s="9">
        <f t="shared" si="18"/>
        <v>116.95183748259494</v>
      </c>
    </row>
    <row r="95" spans="7:16" x14ac:dyDescent="0.25">
      <c r="G95" s="15">
        <f>B78</f>
        <v>0</v>
      </c>
      <c r="H95" s="14">
        <f>C78</f>
        <v>0</v>
      </c>
      <c r="I95" s="13">
        <f t="shared" si="20"/>
        <v>120</v>
      </c>
      <c r="J95" s="12">
        <v>2</v>
      </c>
      <c r="K95" s="9">
        <v>-2</v>
      </c>
      <c r="L95" s="12">
        <f t="shared" si="14"/>
        <v>0.06</v>
      </c>
      <c r="M95" s="9">
        <f t="shared" si="15"/>
        <v>-0.06</v>
      </c>
      <c r="N95" s="11">
        <f t="shared" si="16"/>
        <v>120.06</v>
      </c>
      <c r="O95" s="10">
        <f t="shared" si="21"/>
        <v>120</v>
      </c>
      <c r="P95" s="9">
        <f t="shared" si="18"/>
        <v>119.94</v>
      </c>
    </row>
    <row r="96" spans="7:16" x14ac:dyDescent="0.25">
      <c r="G96" s="15"/>
      <c r="H96" s="14">
        <f>CEILING(H95,5)</f>
        <v>0</v>
      </c>
      <c r="I96" s="13">
        <f t="shared" si="20"/>
        <v>120</v>
      </c>
      <c r="J96" s="12">
        <f t="shared" ref="J96:J101" si="28">(($J$59-$J$52)/($H$59-$H$52))*(H96-$H$52)+$J$52</f>
        <v>245.61264024261595</v>
      </c>
      <c r="K96" s="9">
        <v>-2</v>
      </c>
      <c r="L96" s="12">
        <f t="shared" si="14"/>
        <v>7.3683792072784788</v>
      </c>
      <c r="M96" s="9">
        <f t="shared" si="15"/>
        <v>-0.06</v>
      </c>
      <c r="N96" s="11">
        <f t="shared" si="16"/>
        <v>127.36837920727848</v>
      </c>
      <c r="O96" s="10">
        <f t="shared" si="21"/>
        <v>120</v>
      </c>
      <c r="P96" s="9">
        <f t="shared" si="18"/>
        <v>119.94</v>
      </c>
    </row>
    <row r="97" spans="7:16" x14ac:dyDescent="0.25">
      <c r="G97" s="15"/>
      <c r="H97" s="14">
        <f>H96+$C$10</f>
        <v>5</v>
      </c>
      <c r="I97" s="13">
        <f t="shared" si="20"/>
        <v>120</v>
      </c>
      <c r="J97" s="12">
        <f t="shared" si="28"/>
        <v>244.01264024261596</v>
      </c>
      <c r="K97" s="9">
        <v>-2</v>
      </c>
      <c r="L97" s="12">
        <f t="shared" si="14"/>
        <v>7.3203792072784788</v>
      </c>
      <c r="M97" s="9">
        <f t="shared" si="15"/>
        <v>-0.06</v>
      </c>
      <c r="N97" s="11">
        <f t="shared" si="16"/>
        <v>127.32037920727848</v>
      </c>
      <c r="O97" s="10">
        <f t="shared" si="21"/>
        <v>120</v>
      </c>
      <c r="P97" s="9">
        <f t="shared" si="18"/>
        <v>119.94</v>
      </c>
    </row>
    <row r="98" spans="7:16" x14ac:dyDescent="0.25">
      <c r="G98" s="15">
        <f>B79</f>
        <v>0</v>
      </c>
      <c r="H98" s="14">
        <f>C79</f>
        <v>0</v>
      </c>
      <c r="I98" s="13">
        <f t="shared" si="20"/>
        <v>120</v>
      </c>
      <c r="J98" s="12">
        <f t="shared" si="28"/>
        <v>245.61264024261595</v>
      </c>
      <c r="K98" s="9">
        <v>-2</v>
      </c>
      <c r="L98" s="12">
        <f t="shared" si="14"/>
        <v>7.3683792072784788</v>
      </c>
      <c r="M98" s="9">
        <f t="shared" si="15"/>
        <v>-0.06</v>
      </c>
      <c r="N98" s="11">
        <f t="shared" si="16"/>
        <v>127.36837920727848</v>
      </c>
      <c r="O98" s="10">
        <f t="shared" si="21"/>
        <v>120</v>
      </c>
      <c r="P98" s="9">
        <f t="shared" si="18"/>
        <v>119.94</v>
      </c>
    </row>
    <row r="99" spans="7:16" x14ac:dyDescent="0.25">
      <c r="G99" s="15"/>
      <c r="H99" s="14">
        <f>CEILING(H98,5)</f>
        <v>0</v>
      </c>
      <c r="I99" s="13">
        <f t="shared" si="20"/>
        <v>120</v>
      </c>
      <c r="J99" s="12">
        <f t="shared" si="28"/>
        <v>245.61264024261595</v>
      </c>
      <c r="K99" s="9">
        <v>-2</v>
      </c>
      <c r="L99" s="12">
        <f t="shared" si="14"/>
        <v>7.3683792072784788</v>
      </c>
      <c r="M99" s="9">
        <f t="shared" si="15"/>
        <v>-0.06</v>
      </c>
      <c r="N99" s="11">
        <f t="shared" si="16"/>
        <v>127.36837920727848</v>
      </c>
      <c r="O99" s="10">
        <f t="shared" si="21"/>
        <v>120</v>
      </c>
      <c r="P99" s="9">
        <f t="shared" si="18"/>
        <v>119.94</v>
      </c>
    </row>
    <row r="100" spans="7:16" x14ac:dyDescent="0.25">
      <c r="G100" s="15"/>
      <c r="H100" s="14">
        <f>H99+$C$10</f>
        <v>5</v>
      </c>
      <c r="I100" s="13">
        <f t="shared" si="20"/>
        <v>120</v>
      </c>
      <c r="J100" s="12">
        <f t="shared" si="28"/>
        <v>244.01264024261596</v>
      </c>
      <c r="K100" s="9">
        <v>-2</v>
      </c>
      <c r="L100" s="12">
        <f t="shared" si="14"/>
        <v>7.3203792072784788</v>
      </c>
      <c r="M100" s="9">
        <f t="shared" si="15"/>
        <v>-0.06</v>
      </c>
      <c r="N100" s="11">
        <f t="shared" si="16"/>
        <v>127.32037920727848</v>
      </c>
      <c r="O100" s="10">
        <f t="shared" si="21"/>
        <v>120</v>
      </c>
      <c r="P100" s="9">
        <f t="shared" si="18"/>
        <v>119.94</v>
      </c>
    </row>
    <row r="101" spans="7:16" x14ac:dyDescent="0.25">
      <c r="G101" s="15"/>
      <c r="H101" s="14">
        <f>H100+$C$10</f>
        <v>10</v>
      </c>
      <c r="I101" s="13">
        <f t="shared" si="20"/>
        <v>120</v>
      </c>
      <c r="J101" s="12">
        <f t="shared" si="28"/>
        <v>242.41264024261596</v>
      </c>
      <c r="K101" s="9">
        <v>-2</v>
      </c>
      <c r="L101" s="12">
        <f t="shared" si="14"/>
        <v>7.2723792072784796</v>
      </c>
      <c r="M101" s="9">
        <f t="shared" si="15"/>
        <v>-0.06</v>
      </c>
      <c r="N101" s="11">
        <f t="shared" si="16"/>
        <v>127.27237920727848</v>
      </c>
      <c r="O101" s="10">
        <f t="shared" si="21"/>
        <v>120</v>
      </c>
      <c r="P101" s="9">
        <f t="shared" si="18"/>
        <v>119.94</v>
      </c>
    </row>
    <row r="102" spans="7:16" ht="15.6" thickBot="1" x14ac:dyDescent="0.3">
      <c r="G102" s="8">
        <f>B80</f>
        <v>0</v>
      </c>
      <c r="H102" s="7">
        <f>C80</f>
        <v>0</v>
      </c>
      <c r="I102" s="6">
        <f t="shared" si="20"/>
        <v>120</v>
      </c>
      <c r="J102" s="5">
        <v>-2</v>
      </c>
      <c r="K102" s="2">
        <v>-2</v>
      </c>
      <c r="L102" s="5">
        <f t="shared" si="14"/>
        <v>-0.06</v>
      </c>
      <c r="M102" s="2">
        <f t="shared" si="15"/>
        <v>-0.06</v>
      </c>
      <c r="N102" s="4">
        <f t="shared" si="16"/>
        <v>119.94</v>
      </c>
      <c r="O102" s="3">
        <f t="shared" si="21"/>
        <v>120</v>
      </c>
      <c r="P102" s="2">
        <f t="shared" si="18"/>
        <v>119.94</v>
      </c>
    </row>
  </sheetData>
  <pageMargins left="0.7" right="0.7" top="0.75" bottom="0.75" header="0.3" footer="0.3"/>
  <pageSetup paperSize="8" scale="97" orientation="landscape" horizontalDpi="1200" verticalDpi="1200" r:id="rId1"/>
  <rowBreaks count="1" manualBreakCount="1">
    <brk id="5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8E624-114C-4482-9712-E5D96DCA37E8}">
  <dimension ref="B4:Q102"/>
  <sheetViews>
    <sheetView showWhiteSpace="0" topLeftCell="C1" zoomScale="70" zoomScaleNormal="70" zoomScaleSheetLayoutView="33" zoomScalePageLayoutView="53" workbookViewId="0">
      <selection activeCell="F77" sqref="F77"/>
    </sheetView>
  </sheetViews>
  <sheetFormatPr baseColWidth="10" defaultRowHeight="13.2" x14ac:dyDescent="0.25"/>
  <cols>
    <col min="1" max="1" width="10.90625" style="47"/>
    <col min="2" max="2" width="25.26953125" style="47" bestFit="1" customWidth="1"/>
    <col min="3" max="3" width="10.453125" style="47" bestFit="1" customWidth="1"/>
    <col min="4" max="4" width="10.90625" style="47"/>
    <col min="5" max="5" width="6.36328125" style="47" bestFit="1" customWidth="1"/>
    <col min="6" max="6" width="25.26953125" style="47" bestFit="1" customWidth="1"/>
    <col min="7" max="7" width="6.36328125" style="47" bestFit="1" customWidth="1"/>
    <col min="8" max="8" width="10.453125" style="47" bestFit="1" customWidth="1"/>
    <col min="9" max="9" width="8.26953125" style="47" bestFit="1" customWidth="1"/>
    <col min="10" max="10" width="12.54296875" style="47" bestFit="1" customWidth="1"/>
    <col min="11" max="11" width="12.1796875" style="47" bestFit="1" customWidth="1"/>
    <col min="12" max="12" width="8.1796875" style="47" bestFit="1" customWidth="1"/>
    <col min="13" max="13" width="7.7265625" style="47" bestFit="1" customWidth="1"/>
    <col min="14" max="14" width="9.7265625" style="47" bestFit="1" customWidth="1"/>
    <col min="15" max="15" width="8.26953125" style="47" bestFit="1" customWidth="1"/>
    <col min="16" max="16" width="9.26953125" style="47" bestFit="1" customWidth="1"/>
    <col min="17" max="17" width="6.36328125" style="47" bestFit="1" customWidth="1"/>
    <col min="18" max="18" width="16.1796875" style="47" bestFit="1" customWidth="1"/>
    <col min="19" max="19" width="10.81640625" style="47" bestFit="1" customWidth="1"/>
    <col min="20" max="20" width="9.90625" style="47" bestFit="1" customWidth="1"/>
    <col min="21" max="21" width="13.36328125" style="47" bestFit="1" customWidth="1"/>
    <col min="22" max="22" width="11.1796875" style="47" bestFit="1" customWidth="1"/>
    <col min="23" max="23" width="10.90625" style="47" bestFit="1" customWidth="1"/>
    <col min="24" max="24" width="8.1796875" style="47" customWidth="1"/>
    <col min="25" max="16384" width="10.90625" style="47"/>
  </cols>
  <sheetData>
    <row r="4" spans="2:8" x14ac:dyDescent="0.25">
      <c r="B4" s="47" t="s">
        <v>44</v>
      </c>
      <c r="E4" s="47" t="s">
        <v>43</v>
      </c>
    </row>
    <row r="5" spans="2:8" x14ac:dyDescent="0.25">
      <c r="B5" s="47" t="s">
        <v>42</v>
      </c>
      <c r="C5" s="47">
        <f>40</f>
        <v>40</v>
      </c>
      <c r="E5" s="47" t="s">
        <v>41</v>
      </c>
      <c r="F5" s="48">
        <v>36.064</v>
      </c>
      <c r="G5" s="47" t="s">
        <v>40</v>
      </c>
      <c r="H5" s="49">
        <v>74.247741403373894</v>
      </c>
    </row>
    <row r="6" spans="2:8" x14ac:dyDescent="0.25">
      <c r="B6" s="47" t="s">
        <v>39</v>
      </c>
      <c r="C6" s="47">
        <v>6</v>
      </c>
      <c r="E6" s="47" t="s">
        <v>13</v>
      </c>
      <c r="F6" s="47">
        <v>50</v>
      </c>
    </row>
    <row r="7" spans="2:8" x14ac:dyDescent="0.25">
      <c r="B7" s="47" t="s">
        <v>38</v>
      </c>
      <c r="C7" s="47">
        <f>C6/2</f>
        <v>3</v>
      </c>
      <c r="F7" s="47" t="s">
        <v>8</v>
      </c>
    </row>
    <row r="8" spans="2:8" x14ac:dyDescent="0.25">
      <c r="B8" s="47" t="s">
        <v>37</v>
      </c>
      <c r="C8" s="47">
        <v>6</v>
      </c>
      <c r="E8" s="47" t="s">
        <v>23</v>
      </c>
      <c r="F8" s="47" t="s">
        <v>22</v>
      </c>
    </row>
    <row r="9" spans="2:8" x14ac:dyDescent="0.25">
      <c r="B9" s="47" t="s">
        <v>36</v>
      </c>
      <c r="C9" s="50">
        <v>0.02</v>
      </c>
      <c r="E9" s="47" t="s">
        <v>46</v>
      </c>
      <c r="F9" s="51">
        <v>1346.9682</v>
      </c>
    </row>
    <row r="10" spans="2:8" x14ac:dyDescent="0.25">
      <c r="B10" s="47" t="s">
        <v>5</v>
      </c>
      <c r="C10" s="47">
        <v>5</v>
      </c>
      <c r="E10" s="47" t="s">
        <v>47</v>
      </c>
      <c r="F10" s="51">
        <f>F9+0.8*C25</f>
        <v>1361.9682</v>
      </c>
    </row>
    <row r="11" spans="2:8" x14ac:dyDescent="0.25">
      <c r="B11" s="47" t="s">
        <v>51</v>
      </c>
      <c r="C11" s="47">
        <v>19.181000000000001</v>
      </c>
      <c r="E11" s="47" t="s">
        <v>48</v>
      </c>
      <c r="F11" s="51">
        <f>F10+0.2*C25</f>
        <v>1365.7182</v>
      </c>
    </row>
    <row r="12" spans="2:8" x14ac:dyDescent="0.25">
      <c r="B12" s="47" t="s">
        <v>16</v>
      </c>
      <c r="E12" s="47" t="s">
        <v>2</v>
      </c>
      <c r="F12" s="51">
        <f>F13-0.2*C25</f>
        <v>1394.2822000000001</v>
      </c>
    </row>
    <row r="13" spans="2:8" x14ac:dyDescent="0.25">
      <c r="B13" s="52" t="s">
        <v>45</v>
      </c>
      <c r="C13" s="47">
        <v>150</v>
      </c>
      <c r="E13" s="47" t="s">
        <v>49</v>
      </c>
      <c r="F13" s="51">
        <f>F10+F5</f>
        <v>1398.0322000000001</v>
      </c>
    </row>
    <row r="14" spans="2:8" x14ac:dyDescent="0.25">
      <c r="B14" s="47" t="s">
        <v>50</v>
      </c>
      <c r="C14" s="47">
        <f>ROUND(C13-C11*C9,4)</f>
        <v>149.6164</v>
      </c>
      <c r="E14" s="47" t="s">
        <v>0</v>
      </c>
      <c r="F14" s="51">
        <f>C38+(0.8*C25)-C27</f>
        <v>1406.7822000000001</v>
      </c>
    </row>
    <row r="15" spans="2:8" x14ac:dyDescent="0.25">
      <c r="B15" s="47" t="s">
        <v>31</v>
      </c>
      <c r="C15" s="47">
        <v>0.96</v>
      </c>
      <c r="E15" s="47" t="s">
        <v>52</v>
      </c>
      <c r="F15" s="51">
        <f>F14+C27</f>
        <v>1413.0322000000001</v>
      </c>
    </row>
    <row r="16" spans="2:8" x14ac:dyDescent="0.25">
      <c r="B16" s="47" t="s">
        <v>29</v>
      </c>
      <c r="C16" s="47">
        <f>C7*0.1</f>
        <v>0.30000000000000004</v>
      </c>
      <c r="E16" s="47" t="s">
        <v>53</v>
      </c>
      <c r="F16" s="51">
        <f>F15+C27</f>
        <v>1419.2822000000001</v>
      </c>
    </row>
    <row r="17" spans="2:16" x14ac:dyDescent="0.25">
      <c r="B17" s="47" t="s">
        <v>28</v>
      </c>
    </row>
    <row r="18" spans="2:16" x14ac:dyDescent="0.25">
      <c r="B18" s="47" t="s">
        <v>27</v>
      </c>
    </row>
    <row r="19" spans="2:16" ht="13.8" thickBot="1" x14ac:dyDescent="0.3">
      <c r="B19" s="47" t="s">
        <v>26</v>
      </c>
      <c r="C19" s="47">
        <v>2</v>
      </c>
    </row>
    <row r="20" spans="2:16" ht="13.8" thickBot="1" x14ac:dyDescent="0.3">
      <c r="G20" s="33" t="s">
        <v>23</v>
      </c>
      <c r="H20" s="33" t="s">
        <v>22</v>
      </c>
      <c r="I20" s="33" t="s">
        <v>16</v>
      </c>
      <c r="J20" s="34" t="s">
        <v>21</v>
      </c>
      <c r="K20" s="35" t="s">
        <v>20</v>
      </c>
      <c r="L20" s="34" t="s">
        <v>19</v>
      </c>
      <c r="M20" s="35" t="s">
        <v>18</v>
      </c>
      <c r="N20" s="36" t="s">
        <v>17</v>
      </c>
      <c r="O20" s="37" t="s">
        <v>16</v>
      </c>
      <c r="P20" s="35" t="s">
        <v>15</v>
      </c>
    </row>
    <row r="21" spans="2:16" x14ac:dyDescent="0.25">
      <c r="B21" s="47" t="s">
        <v>25</v>
      </c>
      <c r="C21" s="47">
        <f>(C7*C8)/C16</f>
        <v>59.999999999999993</v>
      </c>
      <c r="G21" s="53" t="s">
        <v>7</v>
      </c>
      <c r="H21" s="54">
        <f>C32</f>
        <v>1340.7182</v>
      </c>
      <c r="I21" s="55">
        <v>120</v>
      </c>
      <c r="J21" s="56">
        <v>-2</v>
      </c>
      <c r="K21" s="57">
        <v>-2</v>
      </c>
      <c r="L21" s="56">
        <f>($C$7*J21)/100</f>
        <v>-0.06</v>
      </c>
      <c r="M21" s="57">
        <f t="shared" ref="L21:M59" si="0">($C$7*K21)/100</f>
        <v>-0.06</v>
      </c>
      <c r="N21" s="58">
        <f>O21+L21</f>
        <v>119.94</v>
      </c>
      <c r="O21" s="59">
        <f t="shared" ref="O21:O59" si="1">I21</f>
        <v>120</v>
      </c>
      <c r="P21" s="57">
        <f t="shared" ref="P21:P59" si="2">O21+M21</f>
        <v>119.94</v>
      </c>
    </row>
    <row r="22" spans="2:16" x14ac:dyDescent="0.25">
      <c r="B22" s="47" t="s">
        <v>24</v>
      </c>
      <c r="C22" s="48">
        <f>(C7*C8)/C15</f>
        <v>18.75</v>
      </c>
      <c r="G22" s="40"/>
      <c r="H22" s="60">
        <f>CEILING(H21,5)</f>
        <v>1345</v>
      </c>
      <c r="I22" s="61">
        <f t="shared" ref="I22:I59" si="3">(H22-H21)*$C$90+I21</f>
        <v>120</v>
      </c>
      <c r="J22" s="62">
        <f t="shared" ref="J22:J27" si="4">(($J$28-$J$21)/($H$28-$H$21))*(H22-$H$21)+$J$21</f>
        <v>-0.62982400000000771</v>
      </c>
      <c r="K22" s="63">
        <v>-2</v>
      </c>
      <c r="L22" s="62">
        <f>($C$7*J22)/100</f>
        <v>-1.8894720000000233E-2</v>
      </c>
      <c r="M22" s="63">
        <f t="shared" si="0"/>
        <v>-0.06</v>
      </c>
      <c r="N22" s="64">
        <f t="shared" ref="N22:N59" si="5">O22+L22</f>
        <v>119.98110527999999</v>
      </c>
      <c r="O22" s="65">
        <f>I22</f>
        <v>120</v>
      </c>
      <c r="P22" s="63">
        <f t="shared" si="2"/>
        <v>119.94</v>
      </c>
    </row>
    <row r="23" spans="2:16" x14ac:dyDescent="0.25">
      <c r="B23" s="47" t="s">
        <v>14</v>
      </c>
      <c r="C23" s="48">
        <f>C22</f>
        <v>18.75</v>
      </c>
      <c r="G23" s="40"/>
      <c r="H23" s="60"/>
      <c r="I23" s="61">
        <f t="shared" si="3"/>
        <v>120</v>
      </c>
      <c r="J23" s="62">
        <f t="shared" si="4"/>
        <v>-431.02982400000002</v>
      </c>
      <c r="K23" s="63">
        <v>-2</v>
      </c>
      <c r="L23" s="62">
        <f t="shared" si="0"/>
        <v>-12.930894720000001</v>
      </c>
      <c r="M23" s="63">
        <f t="shared" si="0"/>
        <v>-0.06</v>
      </c>
      <c r="N23" s="64">
        <f t="shared" si="5"/>
        <v>107.06910528</v>
      </c>
      <c r="O23" s="65">
        <f t="shared" si="1"/>
        <v>120</v>
      </c>
      <c r="P23" s="63">
        <f t="shared" si="2"/>
        <v>119.94</v>
      </c>
    </row>
    <row r="24" spans="2:16" x14ac:dyDescent="0.25">
      <c r="B24" s="47" t="s">
        <v>13</v>
      </c>
      <c r="C24" s="48">
        <f>C23</f>
        <v>18.75</v>
      </c>
      <c r="G24" s="40"/>
      <c r="H24" s="60"/>
      <c r="I24" s="61">
        <f t="shared" si="3"/>
        <v>120</v>
      </c>
      <c r="J24" s="62">
        <f t="shared" si="4"/>
        <v>-431.02982400000002</v>
      </c>
      <c r="K24" s="63">
        <v>-2</v>
      </c>
      <c r="L24" s="62">
        <f>($C$7*J24)/100</f>
        <v>-12.930894720000001</v>
      </c>
      <c r="M24" s="63">
        <f t="shared" si="0"/>
        <v>-0.06</v>
      </c>
      <c r="N24" s="64">
        <f t="shared" si="5"/>
        <v>107.06910528</v>
      </c>
      <c r="O24" s="65">
        <f t="shared" si="1"/>
        <v>120</v>
      </c>
      <c r="P24" s="63">
        <f t="shared" si="2"/>
        <v>119.94</v>
      </c>
    </row>
    <row r="25" spans="2:16" x14ac:dyDescent="0.25">
      <c r="B25" s="47" t="s">
        <v>12</v>
      </c>
      <c r="C25" s="47">
        <f>IF(C24&gt;C23,C24,C23)</f>
        <v>18.75</v>
      </c>
      <c r="F25" s="47">
        <v>0</v>
      </c>
      <c r="G25" s="40" t="str">
        <f>B33</f>
        <v>B</v>
      </c>
      <c r="H25" s="60">
        <f>C33</f>
        <v>1346.9682</v>
      </c>
      <c r="I25" s="61">
        <f t="shared" si="3"/>
        <v>120</v>
      </c>
      <c r="J25" s="62">
        <f t="shared" si="4"/>
        <v>0</v>
      </c>
      <c r="K25" s="63">
        <v>-2</v>
      </c>
      <c r="L25" s="62">
        <f t="shared" si="0"/>
        <v>0</v>
      </c>
      <c r="M25" s="63">
        <f t="shared" si="0"/>
        <v>-0.06</v>
      </c>
      <c r="N25" s="64">
        <f t="shared" si="5"/>
        <v>120</v>
      </c>
      <c r="O25" s="65">
        <f t="shared" si="1"/>
        <v>120</v>
      </c>
      <c r="P25" s="63">
        <f t="shared" si="2"/>
        <v>119.94</v>
      </c>
    </row>
    <row r="26" spans="2:16" x14ac:dyDescent="0.25">
      <c r="B26" s="47" t="s">
        <v>11</v>
      </c>
      <c r="C26" s="48">
        <f>(C7*C8)/C25</f>
        <v>0.96</v>
      </c>
      <c r="F26" s="47">
        <v>0</v>
      </c>
      <c r="G26" s="40"/>
      <c r="H26" s="60">
        <f>CEILING(H25,5)</f>
        <v>1350</v>
      </c>
      <c r="I26" s="61">
        <f t="shared" si="3"/>
        <v>120</v>
      </c>
      <c r="J26" s="62">
        <f t="shared" si="4"/>
        <v>0.97017599999999238</v>
      </c>
      <c r="K26" s="63">
        <v>-2</v>
      </c>
      <c r="L26" s="62">
        <f t="shared" si="0"/>
        <v>2.9105279999999772E-2</v>
      </c>
      <c r="M26" s="63">
        <f t="shared" si="0"/>
        <v>-0.06</v>
      </c>
      <c r="N26" s="64">
        <f t="shared" si="5"/>
        <v>120.02910528</v>
      </c>
      <c r="O26" s="65">
        <f t="shared" si="1"/>
        <v>120</v>
      </c>
      <c r="P26" s="63">
        <f t="shared" si="2"/>
        <v>119.94</v>
      </c>
    </row>
    <row r="27" spans="2:16" x14ac:dyDescent="0.25">
      <c r="B27" s="47" t="s">
        <v>10</v>
      </c>
      <c r="C27" s="47">
        <f>(C19*C25)/C8</f>
        <v>6.25</v>
      </c>
      <c r="F27" s="47">
        <v>0</v>
      </c>
      <c r="G27" s="40"/>
      <c r="H27" s="60"/>
      <c r="I27" s="61">
        <f t="shared" si="3"/>
        <v>120</v>
      </c>
      <c r="J27" s="62">
        <f t="shared" si="4"/>
        <v>-431.02982400000002</v>
      </c>
      <c r="K27" s="63">
        <v>-2</v>
      </c>
      <c r="L27" s="62">
        <f t="shared" si="0"/>
        <v>-12.930894720000001</v>
      </c>
      <c r="M27" s="63">
        <f t="shared" si="0"/>
        <v>-0.06</v>
      </c>
      <c r="N27" s="64">
        <f t="shared" si="5"/>
        <v>107.06910528</v>
      </c>
      <c r="O27" s="65">
        <f t="shared" si="1"/>
        <v>120</v>
      </c>
      <c r="P27" s="63">
        <f t="shared" si="2"/>
        <v>119.94</v>
      </c>
    </row>
    <row r="28" spans="2:16" x14ac:dyDescent="0.25">
      <c r="B28" s="47" t="s">
        <v>9</v>
      </c>
      <c r="C28" s="47">
        <f>C27+C25</f>
        <v>25</v>
      </c>
      <c r="F28" s="47">
        <v>0</v>
      </c>
      <c r="G28" s="40" t="str">
        <f>B34</f>
        <v>C</v>
      </c>
      <c r="H28" s="60">
        <f>C34</f>
        <v>1353.2182</v>
      </c>
      <c r="I28" s="61">
        <f t="shared" si="3"/>
        <v>120</v>
      </c>
      <c r="J28" s="62">
        <v>2</v>
      </c>
      <c r="K28" s="63">
        <v>-2</v>
      </c>
      <c r="L28" s="62">
        <f t="shared" si="0"/>
        <v>0.06</v>
      </c>
      <c r="M28" s="63">
        <f t="shared" si="0"/>
        <v>-0.06</v>
      </c>
      <c r="N28" s="64">
        <f t="shared" si="5"/>
        <v>120.06</v>
      </c>
      <c r="O28" s="65">
        <f t="shared" si="1"/>
        <v>120</v>
      </c>
      <c r="P28" s="63">
        <f t="shared" si="2"/>
        <v>119.94</v>
      </c>
    </row>
    <row r="29" spans="2:16" x14ac:dyDescent="0.25">
      <c r="F29" s="47">
        <v>0</v>
      </c>
      <c r="G29" s="40"/>
      <c r="H29" s="60">
        <f>CEILING(H28,5)</f>
        <v>1355</v>
      </c>
      <c r="I29" s="61">
        <f t="shared" si="3"/>
        <v>120</v>
      </c>
      <c r="J29" s="62">
        <f t="shared" ref="J29:J36" si="6">(($J$37-$J$28)/($H$37-$H$28))*(H29-$H$28)+$J$28</f>
        <v>3.2218057142856975</v>
      </c>
      <c r="K29" s="63">
        <f t="shared" ref="K29:K36" si="7">-J29</f>
        <v>-3.2218057142856975</v>
      </c>
      <c r="L29" s="62">
        <f t="shared" si="0"/>
        <v>9.6654171428570926E-2</v>
      </c>
      <c r="M29" s="63">
        <f t="shared" si="0"/>
        <v>-9.6654171428570926E-2</v>
      </c>
      <c r="N29" s="64">
        <f t="shared" si="5"/>
        <v>120.09665417142857</v>
      </c>
      <c r="O29" s="65">
        <f t="shared" si="1"/>
        <v>120</v>
      </c>
      <c r="P29" s="63">
        <f t="shared" si="2"/>
        <v>119.90334582857143</v>
      </c>
    </row>
    <row r="30" spans="2:16" x14ac:dyDescent="0.25">
      <c r="F30" s="47">
        <v>0</v>
      </c>
      <c r="G30" s="40"/>
      <c r="H30" s="60">
        <f t="shared" ref="H30" si="8">H29+$C$10</f>
        <v>1360</v>
      </c>
      <c r="I30" s="61">
        <f t="shared" si="3"/>
        <v>120</v>
      </c>
      <c r="J30" s="62">
        <f t="shared" si="6"/>
        <v>6.6503771428571259</v>
      </c>
      <c r="K30" s="63">
        <f>-J30</f>
        <v>-6.6503771428571259</v>
      </c>
      <c r="L30" s="62">
        <f t="shared" si="0"/>
        <v>0.19951131428571378</v>
      </c>
      <c r="M30" s="63">
        <f t="shared" si="0"/>
        <v>-0.19951131428571378</v>
      </c>
      <c r="N30" s="64">
        <f t="shared" si="5"/>
        <v>120.19951131428572</v>
      </c>
      <c r="O30" s="65">
        <f t="shared" si="1"/>
        <v>120</v>
      </c>
      <c r="P30" s="63">
        <f t="shared" si="2"/>
        <v>119.80048868571428</v>
      </c>
    </row>
    <row r="31" spans="2:16" x14ac:dyDescent="0.25">
      <c r="B31" s="47" t="s">
        <v>8</v>
      </c>
      <c r="F31" s="47">
        <v>0</v>
      </c>
      <c r="G31" s="40"/>
      <c r="H31" s="60"/>
      <c r="I31" s="61">
        <f t="shared" si="3"/>
        <v>120</v>
      </c>
      <c r="J31" s="62">
        <f t="shared" si="6"/>
        <v>-925.92105142857145</v>
      </c>
      <c r="K31" s="63">
        <f t="shared" si="7"/>
        <v>925.92105142857145</v>
      </c>
      <c r="L31" s="62">
        <f t="shared" si="0"/>
        <v>-27.777631542857144</v>
      </c>
      <c r="M31" s="63">
        <f t="shared" si="0"/>
        <v>27.777631542857144</v>
      </c>
      <c r="N31" s="64">
        <f t="shared" si="5"/>
        <v>92.222368457142863</v>
      </c>
      <c r="O31" s="65">
        <f t="shared" si="1"/>
        <v>120</v>
      </c>
      <c r="P31" s="63">
        <f t="shared" si="2"/>
        <v>147.77763154285714</v>
      </c>
    </row>
    <row r="32" spans="2:16" x14ac:dyDescent="0.25">
      <c r="B32" s="47" t="s">
        <v>7</v>
      </c>
      <c r="C32" s="51">
        <f>C33-C27</f>
        <v>1340.7182</v>
      </c>
      <c r="F32" s="47">
        <v>0</v>
      </c>
      <c r="G32" s="40"/>
      <c r="H32" s="60"/>
      <c r="I32" s="61">
        <f t="shared" si="3"/>
        <v>120</v>
      </c>
      <c r="J32" s="62">
        <f t="shared" si="6"/>
        <v>-925.92105142857145</v>
      </c>
      <c r="K32" s="63">
        <f t="shared" si="7"/>
        <v>925.92105142857145</v>
      </c>
      <c r="L32" s="62">
        <f t="shared" si="0"/>
        <v>-27.777631542857144</v>
      </c>
      <c r="M32" s="63">
        <f t="shared" si="0"/>
        <v>27.777631542857144</v>
      </c>
      <c r="N32" s="64">
        <f t="shared" si="5"/>
        <v>92.222368457142863</v>
      </c>
      <c r="O32" s="65">
        <f t="shared" si="1"/>
        <v>120</v>
      </c>
      <c r="P32" s="63">
        <f t="shared" si="2"/>
        <v>147.77763154285714</v>
      </c>
    </row>
    <row r="33" spans="2:16" x14ac:dyDescent="0.25">
      <c r="B33" s="47" t="s">
        <v>46</v>
      </c>
      <c r="C33" s="51">
        <f>F9</f>
        <v>1346.9682</v>
      </c>
      <c r="F33" s="47">
        <v>0</v>
      </c>
      <c r="G33" s="40"/>
      <c r="H33" s="60"/>
      <c r="I33" s="61">
        <f t="shared" si="3"/>
        <v>120</v>
      </c>
      <c r="J33" s="62">
        <f t="shared" si="6"/>
        <v>-925.92105142857145</v>
      </c>
      <c r="K33" s="63">
        <f>-J33</f>
        <v>925.92105142857145</v>
      </c>
      <c r="L33" s="62">
        <f t="shared" si="0"/>
        <v>-27.777631542857144</v>
      </c>
      <c r="M33" s="63">
        <f t="shared" si="0"/>
        <v>27.777631542857144</v>
      </c>
      <c r="N33" s="64">
        <f t="shared" si="5"/>
        <v>92.222368457142863</v>
      </c>
      <c r="O33" s="65">
        <f t="shared" si="1"/>
        <v>120</v>
      </c>
      <c r="P33" s="63">
        <f t="shared" si="2"/>
        <v>147.77763154285714</v>
      </c>
    </row>
    <row r="34" spans="2:16" x14ac:dyDescent="0.25">
      <c r="B34" s="47" t="s">
        <v>5</v>
      </c>
      <c r="C34" s="51">
        <f>C33+C27</f>
        <v>1353.2182</v>
      </c>
      <c r="F34" s="47">
        <v>0</v>
      </c>
      <c r="G34" s="40"/>
      <c r="H34" s="60"/>
      <c r="I34" s="61">
        <f t="shared" si="3"/>
        <v>120</v>
      </c>
      <c r="J34" s="62">
        <f t="shared" si="6"/>
        <v>-925.92105142857145</v>
      </c>
      <c r="K34" s="63">
        <f t="shared" si="7"/>
        <v>925.92105142857145</v>
      </c>
      <c r="L34" s="62">
        <f t="shared" si="0"/>
        <v>-27.777631542857144</v>
      </c>
      <c r="M34" s="63">
        <f t="shared" si="0"/>
        <v>27.777631542857144</v>
      </c>
      <c r="N34" s="64">
        <f t="shared" si="5"/>
        <v>92.222368457142863</v>
      </c>
      <c r="O34" s="65">
        <f t="shared" si="1"/>
        <v>120</v>
      </c>
      <c r="P34" s="63">
        <f t="shared" si="2"/>
        <v>147.77763154285714</v>
      </c>
    </row>
    <row r="35" spans="2:16" x14ac:dyDescent="0.25">
      <c r="B35" s="47" t="s">
        <v>47</v>
      </c>
      <c r="C35" s="51">
        <f t="shared" ref="C35:C41" si="9">F10</f>
        <v>1361.9682</v>
      </c>
      <c r="F35" s="47">
        <v>0</v>
      </c>
      <c r="G35" s="40"/>
      <c r="H35" s="60"/>
      <c r="I35" s="61">
        <f t="shared" si="3"/>
        <v>120</v>
      </c>
      <c r="J35" s="62">
        <f t="shared" si="6"/>
        <v>-925.92105142857145</v>
      </c>
      <c r="K35" s="63">
        <f t="shared" si="7"/>
        <v>925.92105142857145</v>
      </c>
      <c r="L35" s="62">
        <f t="shared" si="0"/>
        <v>-27.777631542857144</v>
      </c>
      <c r="M35" s="63">
        <f t="shared" si="0"/>
        <v>27.777631542857144</v>
      </c>
      <c r="N35" s="64">
        <f t="shared" si="5"/>
        <v>92.222368457142863</v>
      </c>
      <c r="O35" s="65">
        <f t="shared" si="1"/>
        <v>120</v>
      </c>
      <c r="P35" s="63">
        <f t="shared" si="2"/>
        <v>147.77763154285714</v>
      </c>
    </row>
    <row r="36" spans="2:16" x14ac:dyDescent="0.25">
      <c r="B36" s="47" t="s">
        <v>48</v>
      </c>
      <c r="C36" s="51">
        <f t="shared" si="9"/>
        <v>1365.7182</v>
      </c>
      <c r="D36" s="66"/>
      <c r="F36" s="47">
        <v>0</v>
      </c>
      <c r="G36" s="40"/>
      <c r="H36" s="60"/>
      <c r="I36" s="61">
        <f t="shared" si="3"/>
        <v>120</v>
      </c>
      <c r="J36" s="62">
        <f t="shared" si="6"/>
        <v>-925.92105142857145</v>
      </c>
      <c r="K36" s="63">
        <f t="shared" si="7"/>
        <v>925.92105142857145</v>
      </c>
      <c r="L36" s="62">
        <f t="shared" si="0"/>
        <v>-27.777631542857144</v>
      </c>
      <c r="M36" s="63">
        <f t="shared" si="0"/>
        <v>27.777631542857144</v>
      </c>
      <c r="N36" s="64">
        <f t="shared" si="5"/>
        <v>92.222368457142863</v>
      </c>
      <c r="O36" s="65">
        <f t="shared" si="1"/>
        <v>120</v>
      </c>
      <c r="P36" s="63">
        <f t="shared" si="2"/>
        <v>147.77763154285714</v>
      </c>
    </row>
    <row r="37" spans="2:16" x14ac:dyDescent="0.25">
      <c r="B37" s="47" t="s">
        <v>2</v>
      </c>
      <c r="C37" s="51">
        <f t="shared" si="9"/>
        <v>1394.2822000000001</v>
      </c>
      <c r="D37" s="66"/>
      <c r="F37" s="47">
        <v>0</v>
      </c>
      <c r="G37" s="40" t="str">
        <f>B35</f>
        <v>D=PC</v>
      </c>
      <c r="H37" s="60">
        <f>C35</f>
        <v>1361.9682</v>
      </c>
      <c r="I37" s="61">
        <f t="shared" si="3"/>
        <v>120</v>
      </c>
      <c r="J37" s="62">
        <v>8</v>
      </c>
      <c r="K37" s="63">
        <v>-8</v>
      </c>
      <c r="L37" s="62">
        <f t="shared" si="0"/>
        <v>0.24</v>
      </c>
      <c r="M37" s="63">
        <f t="shared" si="0"/>
        <v>-0.24</v>
      </c>
      <c r="N37" s="64">
        <f t="shared" si="5"/>
        <v>120.24</v>
      </c>
      <c r="O37" s="65">
        <f t="shared" si="1"/>
        <v>120</v>
      </c>
      <c r="P37" s="63">
        <f t="shared" si="2"/>
        <v>119.76</v>
      </c>
    </row>
    <row r="38" spans="2:16" x14ac:dyDescent="0.25">
      <c r="B38" s="47" t="s">
        <v>49</v>
      </c>
      <c r="C38" s="51">
        <f t="shared" si="9"/>
        <v>1398.0322000000001</v>
      </c>
      <c r="G38" s="40"/>
      <c r="H38" s="60">
        <f>CEILING(H37,5)</f>
        <v>1365</v>
      </c>
      <c r="I38" s="61">
        <f t="shared" si="3"/>
        <v>120</v>
      </c>
      <c r="J38" s="62">
        <v>8</v>
      </c>
      <c r="K38" s="63">
        <v>-8</v>
      </c>
      <c r="L38" s="62">
        <f t="shared" si="0"/>
        <v>0.24</v>
      </c>
      <c r="M38" s="63">
        <f t="shared" si="0"/>
        <v>-0.24</v>
      </c>
      <c r="N38" s="64">
        <f t="shared" si="5"/>
        <v>120.24</v>
      </c>
      <c r="O38" s="65">
        <f t="shared" si="1"/>
        <v>120</v>
      </c>
      <c r="P38" s="63">
        <f t="shared" si="2"/>
        <v>119.76</v>
      </c>
    </row>
    <row r="39" spans="2:16" x14ac:dyDescent="0.25">
      <c r="B39" s="47" t="s">
        <v>0</v>
      </c>
      <c r="C39" s="51">
        <f t="shared" si="9"/>
        <v>1406.7822000000001</v>
      </c>
      <c r="G39" s="40"/>
      <c r="H39" s="60"/>
      <c r="I39" s="61">
        <f t="shared" si="3"/>
        <v>120</v>
      </c>
      <c r="J39" s="62">
        <v>8</v>
      </c>
      <c r="K39" s="63">
        <v>-8</v>
      </c>
      <c r="L39" s="62">
        <f t="shared" si="0"/>
        <v>0.24</v>
      </c>
      <c r="M39" s="63">
        <f t="shared" si="0"/>
        <v>-0.24</v>
      </c>
      <c r="N39" s="64">
        <f t="shared" si="5"/>
        <v>120.24</v>
      </c>
      <c r="O39" s="65">
        <f t="shared" si="1"/>
        <v>120</v>
      </c>
      <c r="P39" s="63">
        <f t="shared" si="2"/>
        <v>119.76</v>
      </c>
    </row>
    <row r="40" spans="2:16" x14ac:dyDescent="0.25">
      <c r="B40" s="47" t="s">
        <v>52</v>
      </c>
      <c r="C40" s="51">
        <f t="shared" si="9"/>
        <v>1413.0322000000001</v>
      </c>
      <c r="G40" s="40"/>
      <c r="H40" s="60"/>
      <c r="I40" s="61">
        <f t="shared" si="3"/>
        <v>120</v>
      </c>
      <c r="J40" s="62">
        <v>8</v>
      </c>
      <c r="K40" s="63">
        <v>-8</v>
      </c>
      <c r="L40" s="62">
        <f t="shared" si="0"/>
        <v>0.24</v>
      </c>
      <c r="M40" s="63">
        <f t="shared" si="0"/>
        <v>-0.24</v>
      </c>
      <c r="N40" s="64">
        <f t="shared" si="5"/>
        <v>120.24</v>
      </c>
      <c r="O40" s="65">
        <f t="shared" si="1"/>
        <v>120</v>
      </c>
      <c r="P40" s="63">
        <f t="shared" si="2"/>
        <v>119.76</v>
      </c>
    </row>
    <row r="41" spans="2:16" x14ac:dyDescent="0.25">
      <c r="B41" s="47" t="s">
        <v>53</v>
      </c>
      <c r="C41" s="51">
        <f t="shared" si="9"/>
        <v>1419.2822000000001</v>
      </c>
      <c r="G41" s="40"/>
      <c r="H41" s="60"/>
      <c r="I41" s="61">
        <f t="shared" si="3"/>
        <v>120</v>
      </c>
      <c r="J41" s="62">
        <v>8</v>
      </c>
      <c r="K41" s="63">
        <v>-8</v>
      </c>
      <c r="L41" s="62">
        <f t="shared" si="0"/>
        <v>0.24</v>
      </c>
      <c r="M41" s="63">
        <f t="shared" si="0"/>
        <v>-0.24</v>
      </c>
      <c r="N41" s="64">
        <f t="shared" si="5"/>
        <v>120.24</v>
      </c>
      <c r="O41" s="65">
        <f t="shared" si="1"/>
        <v>120</v>
      </c>
      <c r="P41" s="63">
        <f t="shared" si="2"/>
        <v>119.76</v>
      </c>
    </row>
    <row r="42" spans="2:16" x14ac:dyDescent="0.25">
      <c r="G42" s="40"/>
      <c r="H42" s="60"/>
      <c r="I42" s="61">
        <f t="shared" si="3"/>
        <v>120</v>
      </c>
      <c r="J42" s="62">
        <v>8</v>
      </c>
      <c r="K42" s="63">
        <v>-8</v>
      </c>
      <c r="L42" s="62">
        <f t="shared" si="0"/>
        <v>0.24</v>
      </c>
      <c r="M42" s="63">
        <f t="shared" si="0"/>
        <v>-0.24</v>
      </c>
      <c r="N42" s="64">
        <f t="shared" si="5"/>
        <v>120.24</v>
      </c>
      <c r="O42" s="65">
        <f t="shared" si="1"/>
        <v>120</v>
      </c>
      <c r="P42" s="63">
        <f t="shared" si="2"/>
        <v>119.76</v>
      </c>
    </row>
    <row r="43" spans="2:16" x14ac:dyDescent="0.25">
      <c r="G43" s="40" t="str">
        <f>B36</f>
        <v>E</v>
      </c>
      <c r="H43" s="60">
        <f>C36</f>
        <v>1365.7182</v>
      </c>
      <c r="I43" s="61">
        <f t="shared" si="3"/>
        <v>120</v>
      </c>
      <c r="J43" s="62">
        <v>8</v>
      </c>
      <c r="K43" s="63">
        <v>-8</v>
      </c>
      <c r="L43" s="62">
        <f t="shared" si="0"/>
        <v>0.24</v>
      </c>
      <c r="M43" s="63">
        <f t="shared" si="0"/>
        <v>-0.24</v>
      </c>
      <c r="N43" s="64">
        <f t="shared" si="5"/>
        <v>120.24</v>
      </c>
      <c r="O43" s="65">
        <f t="shared" si="1"/>
        <v>120</v>
      </c>
      <c r="P43" s="63">
        <f t="shared" si="2"/>
        <v>119.76</v>
      </c>
    </row>
    <row r="44" spans="2:16" x14ac:dyDescent="0.25">
      <c r="G44" s="40"/>
      <c r="H44" s="60">
        <f>CEILING(H43,5)</f>
        <v>1370</v>
      </c>
      <c r="I44" s="61">
        <f t="shared" si="3"/>
        <v>120</v>
      </c>
      <c r="J44" s="62">
        <f t="shared" ref="J44:J51" si="10">(($J$43-$J$52)/($H$43-$H$52))*(H44-$H$52)+$J$52</f>
        <v>7.1005881529197667</v>
      </c>
      <c r="K44" s="63">
        <f t="shared" ref="K44:K51" si="11">-J44</f>
        <v>-7.1005881529197667</v>
      </c>
      <c r="L44" s="62">
        <f t="shared" si="0"/>
        <v>0.21301764458759301</v>
      </c>
      <c r="M44" s="63">
        <f t="shared" si="0"/>
        <v>-0.21301764458759301</v>
      </c>
      <c r="N44" s="64">
        <f t="shared" si="5"/>
        <v>120.21301764458759</v>
      </c>
      <c r="O44" s="65">
        <f t="shared" si="1"/>
        <v>120</v>
      </c>
      <c r="P44" s="63">
        <f t="shared" si="2"/>
        <v>119.78698235541241</v>
      </c>
    </row>
    <row r="45" spans="2:16" x14ac:dyDescent="0.25">
      <c r="G45" s="40"/>
      <c r="H45" s="60">
        <f t="shared" ref="H45:H48" si="12">H44+$C$10</f>
        <v>1375</v>
      </c>
      <c r="I45" s="61">
        <f t="shared" si="3"/>
        <v>120</v>
      </c>
      <c r="J45" s="62">
        <f t="shared" si="10"/>
        <v>6.0503150819213101</v>
      </c>
      <c r="K45" s="63">
        <f t="shared" si="11"/>
        <v>-6.0503150819213101</v>
      </c>
      <c r="L45" s="62">
        <f t="shared" si="0"/>
        <v>0.18150945245763928</v>
      </c>
      <c r="M45" s="63">
        <f t="shared" si="0"/>
        <v>-0.18150945245763928</v>
      </c>
      <c r="N45" s="64">
        <f t="shared" si="5"/>
        <v>120.18150945245763</v>
      </c>
      <c r="O45" s="65">
        <f t="shared" si="1"/>
        <v>120</v>
      </c>
      <c r="P45" s="63">
        <f t="shared" si="2"/>
        <v>119.81849054754237</v>
      </c>
    </row>
    <row r="46" spans="2:16" x14ac:dyDescent="0.25">
      <c r="G46" s="40"/>
      <c r="H46" s="60">
        <f t="shared" si="12"/>
        <v>1380</v>
      </c>
      <c r="I46" s="61">
        <f t="shared" si="3"/>
        <v>120</v>
      </c>
      <c r="J46" s="62">
        <f t="shared" si="10"/>
        <v>5.0000420109228534</v>
      </c>
      <c r="K46" s="63">
        <f t="shared" si="11"/>
        <v>-5.0000420109228534</v>
      </c>
      <c r="L46" s="62">
        <f t="shared" si="0"/>
        <v>0.1500012603276856</v>
      </c>
      <c r="M46" s="63">
        <f t="shared" si="0"/>
        <v>-0.1500012603276856</v>
      </c>
      <c r="N46" s="64">
        <f t="shared" si="5"/>
        <v>120.15000126032768</v>
      </c>
      <c r="O46" s="65">
        <f t="shared" si="1"/>
        <v>120</v>
      </c>
      <c r="P46" s="63">
        <f t="shared" si="2"/>
        <v>119.84999873967232</v>
      </c>
    </row>
    <row r="47" spans="2:16" x14ac:dyDescent="0.25">
      <c r="G47" s="40"/>
      <c r="H47" s="60">
        <f t="shared" si="12"/>
        <v>1385</v>
      </c>
      <c r="I47" s="61">
        <f t="shared" si="3"/>
        <v>120</v>
      </c>
      <c r="J47" s="62">
        <f t="shared" si="10"/>
        <v>3.9497689399243967</v>
      </c>
      <c r="K47" s="63">
        <f t="shared" si="11"/>
        <v>-3.9497689399243967</v>
      </c>
      <c r="L47" s="62">
        <f t="shared" si="0"/>
        <v>0.11849306819773191</v>
      </c>
      <c r="M47" s="63">
        <f t="shared" si="0"/>
        <v>-0.11849306819773191</v>
      </c>
      <c r="N47" s="64">
        <f t="shared" si="5"/>
        <v>120.11849306819774</v>
      </c>
      <c r="O47" s="65">
        <f t="shared" si="1"/>
        <v>120</v>
      </c>
      <c r="P47" s="63">
        <f t="shared" si="2"/>
        <v>119.88150693180226</v>
      </c>
    </row>
    <row r="48" spans="2:16" x14ac:dyDescent="0.25">
      <c r="G48" s="40"/>
      <c r="H48" s="60">
        <f t="shared" si="12"/>
        <v>1390</v>
      </c>
      <c r="I48" s="61">
        <f t="shared" si="3"/>
        <v>120</v>
      </c>
      <c r="J48" s="62">
        <f t="shared" si="10"/>
        <v>2.89949586892594</v>
      </c>
      <c r="K48" s="63">
        <f t="shared" si="11"/>
        <v>-2.89949586892594</v>
      </c>
      <c r="L48" s="62">
        <f t="shared" si="0"/>
        <v>8.6984876067778216E-2</v>
      </c>
      <c r="M48" s="63">
        <f t="shared" si="0"/>
        <v>-8.6984876067778216E-2</v>
      </c>
      <c r="N48" s="64">
        <f t="shared" si="5"/>
        <v>120.08698487606777</v>
      </c>
      <c r="O48" s="65">
        <f t="shared" si="1"/>
        <v>120</v>
      </c>
      <c r="P48" s="63">
        <f t="shared" si="2"/>
        <v>119.91301512393223</v>
      </c>
    </row>
    <row r="49" spans="7:17" x14ac:dyDescent="0.25">
      <c r="G49" s="40"/>
      <c r="H49" s="60"/>
      <c r="I49" s="61">
        <f t="shared" si="3"/>
        <v>120</v>
      </c>
      <c r="J49" s="62">
        <f t="shared" si="10"/>
        <v>294.87540960649693</v>
      </c>
      <c r="K49" s="63">
        <f t="shared" si="11"/>
        <v>-294.87540960649693</v>
      </c>
      <c r="L49" s="62">
        <f t="shared" si="0"/>
        <v>8.8462622881949073</v>
      </c>
      <c r="M49" s="63">
        <f t="shared" si="0"/>
        <v>-8.8462622881949073</v>
      </c>
      <c r="N49" s="64">
        <f t="shared" si="5"/>
        <v>128.84626228819491</v>
      </c>
      <c r="O49" s="65">
        <f t="shared" si="1"/>
        <v>120</v>
      </c>
      <c r="P49" s="63">
        <f t="shared" si="2"/>
        <v>111.15373771180509</v>
      </c>
    </row>
    <row r="50" spans="7:17" x14ac:dyDescent="0.25">
      <c r="G50" s="40"/>
      <c r="H50" s="60"/>
      <c r="I50" s="61">
        <f t="shared" si="3"/>
        <v>120</v>
      </c>
      <c r="J50" s="62">
        <f t="shared" si="10"/>
        <v>294.87540960649693</v>
      </c>
      <c r="K50" s="63">
        <f t="shared" si="11"/>
        <v>-294.87540960649693</v>
      </c>
      <c r="L50" s="62">
        <f t="shared" si="0"/>
        <v>8.8462622881949073</v>
      </c>
      <c r="M50" s="63">
        <f t="shared" si="0"/>
        <v>-8.8462622881949073</v>
      </c>
      <c r="N50" s="64">
        <f t="shared" si="5"/>
        <v>128.84626228819491</v>
      </c>
      <c r="O50" s="65">
        <f t="shared" si="1"/>
        <v>120</v>
      </c>
      <c r="P50" s="63">
        <f t="shared" si="2"/>
        <v>111.15373771180509</v>
      </c>
    </row>
    <row r="51" spans="7:17" x14ac:dyDescent="0.25">
      <c r="G51" s="40"/>
      <c r="H51" s="60"/>
      <c r="I51" s="61">
        <f t="shared" si="3"/>
        <v>120</v>
      </c>
      <c r="J51" s="62">
        <f t="shared" si="10"/>
        <v>294.87540960649693</v>
      </c>
      <c r="K51" s="63">
        <f t="shared" si="11"/>
        <v>-294.87540960649693</v>
      </c>
      <c r="L51" s="62">
        <f t="shared" si="0"/>
        <v>8.8462622881949073</v>
      </c>
      <c r="M51" s="63">
        <f t="shared" si="0"/>
        <v>-8.8462622881949073</v>
      </c>
      <c r="N51" s="64">
        <f t="shared" si="5"/>
        <v>128.84626228819491</v>
      </c>
      <c r="O51" s="65">
        <f t="shared" si="1"/>
        <v>120</v>
      </c>
      <c r="P51" s="63">
        <f t="shared" si="2"/>
        <v>111.15373771180509</v>
      </c>
    </row>
    <row r="52" spans="7:17" x14ac:dyDescent="0.25">
      <c r="G52" s="40" t="str">
        <f>B37</f>
        <v>F</v>
      </c>
      <c r="H52" s="60">
        <f>C37</f>
        <v>1394.2822000000001</v>
      </c>
      <c r="I52" s="61">
        <f t="shared" si="3"/>
        <v>120</v>
      </c>
      <c r="J52" s="62">
        <v>2</v>
      </c>
      <c r="K52" s="63">
        <v>-2</v>
      </c>
      <c r="L52" s="62">
        <f t="shared" si="0"/>
        <v>0.06</v>
      </c>
      <c r="M52" s="63">
        <f t="shared" si="0"/>
        <v>-0.06</v>
      </c>
      <c r="N52" s="64">
        <f t="shared" si="5"/>
        <v>120.06</v>
      </c>
      <c r="O52" s="65">
        <f t="shared" si="1"/>
        <v>120</v>
      </c>
      <c r="P52" s="63">
        <f t="shared" si="2"/>
        <v>119.94</v>
      </c>
    </row>
    <row r="53" spans="7:17" x14ac:dyDescent="0.25">
      <c r="G53" s="40"/>
      <c r="H53" s="60">
        <f>CEILING(H52,5)</f>
        <v>1395</v>
      </c>
      <c r="I53" s="61">
        <f t="shared" si="3"/>
        <v>120</v>
      </c>
      <c r="J53" s="62">
        <f t="shared" ref="J53:J58" si="13">(($J$59-$J$52)/($H$59-$H$52))*(H53-$H$52)+$J$52</f>
        <v>1.7703040000000327</v>
      </c>
      <c r="K53" s="63">
        <v>-2</v>
      </c>
      <c r="L53" s="62">
        <f t="shared" si="0"/>
        <v>5.3109120000000981E-2</v>
      </c>
      <c r="M53" s="63">
        <f t="shared" si="0"/>
        <v>-0.06</v>
      </c>
      <c r="N53" s="64">
        <f t="shared" si="5"/>
        <v>120.05310912</v>
      </c>
      <c r="O53" s="65">
        <f t="shared" si="1"/>
        <v>120</v>
      </c>
      <c r="P53" s="63">
        <f t="shared" si="2"/>
        <v>119.94</v>
      </c>
    </row>
    <row r="54" spans="7:17" x14ac:dyDescent="0.25">
      <c r="G54" s="40"/>
      <c r="H54" s="60"/>
      <c r="I54" s="61">
        <f t="shared" si="3"/>
        <v>120</v>
      </c>
      <c r="J54" s="62">
        <f t="shared" si="13"/>
        <v>448.17030400000004</v>
      </c>
      <c r="K54" s="63">
        <v>-2</v>
      </c>
      <c r="L54" s="62">
        <f t="shared" si="0"/>
        <v>13.445109120000001</v>
      </c>
      <c r="M54" s="63">
        <f t="shared" si="0"/>
        <v>-0.06</v>
      </c>
      <c r="N54" s="64">
        <f t="shared" si="5"/>
        <v>133.44510912000001</v>
      </c>
      <c r="O54" s="65">
        <f t="shared" si="1"/>
        <v>120</v>
      </c>
      <c r="P54" s="63">
        <f t="shared" si="2"/>
        <v>119.94</v>
      </c>
    </row>
    <row r="55" spans="7:17" x14ac:dyDescent="0.25">
      <c r="G55" s="40" t="str">
        <f>B38</f>
        <v>G=PT</v>
      </c>
      <c r="H55" s="60">
        <f>C38</f>
        <v>1398.0322000000001</v>
      </c>
      <c r="I55" s="61">
        <f t="shared" si="3"/>
        <v>120</v>
      </c>
      <c r="J55" s="62">
        <f t="shared" si="13"/>
        <v>0.8</v>
      </c>
      <c r="K55" s="63">
        <v>-2</v>
      </c>
      <c r="L55" s="62">
        <f t="shared" si="0"/>
        <v>2.4000000000000004E-2</v>
      </c>
      <c r="M55" s="63">
        <f t="shared" si="0"/>
        <v>-0.06</v>
      </c>
      <c r="N55" s="64">
        <f t="shared" si="5"/>
        <v>120.024</v>
      </c>
      <c r="O55" s="65">
        <f t="shared" si="1"/>
        <v>120</v>
      </c>
      <c r="P55" s="63">
        <f t="shared" si="2"/>
        <v>119.94</v>
      </c>
    </row>
    <row r="56" spans="7:17" x14ac:dyDescent="0.25">
      <c r="G56" s="40"/>
      <c r="H56" s="60">
        <f>CEILING(H55,5)</f>
        <v>1400</v>
      </c>
      <c r="I56" s="61">
        <f t="shared" si="3"/>
        <v>120</v>
      </c>
      <c r="J56" s="62">
        <f t="shared" si="13"/>
        <v>0.17030400000003287</v>
      </c>
      <c r="K56" s="63">
        <v>-2</v>
      </c>
      <c r="L56" s="62">
        <f t="shared" si="0"/>
        <v>5.1091200000009862E-3</v>
      </c>
      <c r="M56" s="63">
        <f t="shared" si="0"/>
        <v>-0.06</v>
      </c>
      <c r="N56" s="64">
        <f t="shared" si="5"/>
        <v>120.00510912</v>
      </c>
      <c r="O56" s="65">
        <f t="shared" si="1"/>
        <v>120</v>
      </c>
      <c r="P56" s="63">
        <f t="shared" si="2"/>
        <v>119.94</v>
      </c>
    </row>
    <row r="57" spans="7:17" x14ac:dyDescent="0.25">
      <c r="G57" s="40"/>
      <c r="H57" s="60">
        <f>H56+$C$10</f>
        <v>1405</v>
      </c>
      <c r="I57" s="61">
        <f t="shared" si="3"/>
        <v>120</v>
      </c>
      <c r="J57" s="62">
        <f t="shared" si="13"/>
        <v>-1.4296959999999674</v>
      </c>
      <c r="K57" s="63">
        <v>-2</v>
      </c>
      <c r="L57" s="62">
        <f t="shared" si="0"/>
        <v>-4.2890879999999021E-2</v>
      </c>
      <c r="M57" s="63">
        <f t="shared" si="0"/>
        <v>-0.06</v>
      </c>
      <c r="N57" s="64">
        <f t="shared" si="5"/>
        <v>119.95710912</v>
      </c>
      <c r="O57" s="65">
        <f t="shared" si="1"/>
        <v>120</v>
      </c>
      <c r="P57" s="63">
        <f t="shared" si="2"/>
        <v>119.94</v>
      </c>
    </row>
    <row r="58" spans="7:17" x14ac:dyDescent="0.25">
      <c r="G58" s="40"/>
      <c r="H58" s="60">
        <f>H57+$C$10</f>
        <v>1410</v>
      </c>
      <c r="I58" s="61">
        <f t="shared" si="3"/>
        <v>120</v>
      </c>
      <c r="J58" s="62">
        <f t="shared" si="13"/>
        <v>-3.0296959999999675</v>
      </c>
      <c r="K58" s="63">
        <v>-2</v>
      </c>
      <c r="L58" s="62">
        <f t="shared" si="0"/>
        <v>-9.0890879999999022E-2</v>
      </c>
      <c r="M58" s="63">
        <f t="shared" si="0"/>
        <v>-0.06</v>
      </c>
      <c r="N58" s="64">
        <f t="shared" si="5"/>
        <v>119.90910912</v>
      </c>
      <c r="O58" s="65">
        <f t="shared" si="1"/>
        <v>120</v>
      </c>
      <c r="P58" s="63">
        <f t="shared" si="2"/>
        <v>119.94</v>
      </c>
    </row>
    <row r="59" spans="7:17" ht="13.8" thickBot="1" x14ac:dyDescent="0.3">
      <c r="G59" s="44" t="str">
        <f>B39</f>
        <v>H</v>
      </c>
      <c r="H59" s="67">
        <f>F14</f>
        <v>1406.7822000000001</v>
      </c>
      <c r="I59" s="68">
        <f t="shared" si="3"/>
        <v>120</v>
      </c>
      <c r="J59" s="69">
        <v>-2</v>
      </c>
      <c r="K59" s="70">
        <v>-2</v>
      </c>
      <c r="L59" s="69">
        <f t="shared" si="0"/>
        <v>-0.06</v>
      </c>
      <c r="M59" s="70">
        <f t="shared" si="0"/>
        <v>-0.06</v>
      </c>
      <c r="N59" s="71">
        <f t="shared" si="5"/>
        <v>119.94</v>
      </c>
      <c r="O59" s="72">
        <f t="shared" si="1"/>
        <v>120</v>
      </c>
      <c r="P59" s="70">
        <f t="shared" si="2"/>
        <v>119.94</v>
      </c>
    </row>
    <row r="60" spans="7:17" x14ac:dyDescent="0.25">
      <c r="G60" s="47" t="s">
        <v>52</v>
      </c>
    </row>
    <row r="61" spans="7:17" x14ac:dyDescent="0.25">
      <c r="G61" s="47" t="s">
        <v>53</v>
      </c>
    </row>
    <row r="62" spans="7:17" ht="13.8" thickBot="1" x14ac:dyDescent="0.3"/>
    <row r="63" spans="7:17" ht="13.8" thickBot="1" x14ac:dyDescent="0.3">
      <c r="G63" s="34" t="s">
        <v>23</v>
      </c>
      <c r="H63" s="37" t="s">
        <v>22</v>
      </c>
      <c r="I63" s="37" t="s">
        <v>16</v>
      </c>
      <c r="J63" s="37" t="s">
        <v>21</v>
      </c>
      <c r="K63" s="37" t="s">
        <v>20</v>
      </c>
      <c r="L63" s="37" t="s">
        <v>19</v>
      </c>
      <c r="M63" s="37" t="s">
        <v>18</v>
      </c>
      <c r="N63" s="37" t="s">
        <v>17</v>
      </c>
      <c r="O63" s="37" t="s">
        <v>16</v>
      </c>
      <c r="P63" s="35" t="s">
        <v>15</v>
      </c>
      <c r="Q63" s="76" t="s">
        <v>23</v>
      </c>
    </row>
    <row r="64" spans="7:17" x14ac:dyDescent="0.25">
      <c r="G64" s="81" t="s">
        <v>7</v>
      </c>
      <c r="H64" s="82">
        <v>1340.7182</v>
      </c>
      <c r="I64" s="39">
        <f t="shared" ref="I64:I71" si="14">$C$14-$C$9*($F$10-H64)</f>
        <v>149.19139999999999</v>
      </c>
      <c r="J64" s="39">
        <v>-2</v>
      </c>
      <c r="K64" s="39">
        <v>-2</v>
      </c>
      <c r="L64" s="39">
        <f>($C$7*J64)/100</f>
        <v>-0.06</v>
      </c>
      <c r="M64" s="39">
        <f t="shared" ref="L64:M102" si="15">($C$7*K64)/100</f>
        <v>-0.06</v>
      </c>
      <c r="N64" s="39">
        <f t="shared" ref="N64:N102" si="16">O64+L64</f>
        <v>149.13139999999999</v>
      </c>
      <c r="O64" s="39">
        <f t="shared" ref="O64" si="17">I64</f>
        <v>149.19139999999999</v>
      </c>
      <c r="P64" s="38">
        <f t="shared" ref="P64:P102" si="18">O64+M64</f>
        <v>149.13139999999999</v>
      </c>
      <c r="Q64" s="77" t="s">
        <v>7</v>
      </c>
    </row>
    <row r="65" spans="7:17" x14ac:dyDescent="0.25">
      <c r="G65" s="83"/>
      <c r="H65" s="80">
        <v>1345</v>
      </c>
      <c r="I65" s="43">
        <f t="shared" si="14"/>
        <v>149.27703600000001</v>
      </c>
      <c r="J65" s="43">
        <f>(($J$68-$J$64)/($H$68-$H$64))*(H65-$H$64)+$J$64</f>
        <v>-0.62982400000000771</v>
      </c>
      <c r="K65" s="43">
        <v>-2</v>
      </c>
      <c r="L65" s="43">
        <f>($C$7*J65)/100</f>
        <v>-1.8894720000000233E-2</v>
      </c>
      <c r="M65" s="43">
        <f t="shared" si="15"/>
        <v>-0.06</v>
      </c>
      <c r="N65" s="43">
        <f t="shared" si="16"/>
        <v>149.25814128000002</v>
      </c>
      <c r="O65" s="43">
        <f>I65</f>
        <v>149.27703600000001</v>
      </c>
      <c r="P65" s="42">
        <f t="shared" si="18"/>
        <v>149.21703600000001</v>
      </c>
      <c r="Q65" s="78"/>
    </row>
    <row r="66" spans="7:17" x14ac:dyDescent="0.25">
      <c r="G66" s="83" t="s">
        <v>46</v>
      </c>
      <c r="H66" s="80">
        <v>1346.9682</v>
      </c>
      <c r="I66" s="43">
        <f t="shared" si="14"/>
        <v>149.31639999999999</v>
      </c>
      <c r="J66" s="43">
        <f>(($J$68-$J$64)/($H$68-$H$64))*(H66-$H$64)+$J$64</f>
        <v>0</v>
      </c>
      <c r="K66" s="43">
        <v>-2</v>
      </c>
      <c r="L66" s="43">
        <f t="shared" si="15"/>
        <v>0</v>
      </c>
      <c r="M66" s="43">
        <f t="shared" si="15"/>
        <v>-0.06</v>
      </c>
      <c r="N66" s="43">
        <f t="shared" si="16"/>
        <v>149.31639999999999</v>
      </c>
      <c r="O66" s="43">
        <f t="shared" ref="O66:O102" si="19">I66</f>
        <v>149.31639999999999</v>
      </c>
      <c r="P66" s="42">
        <f t="shared" si="18"/>
        <v>149.25639999999999</v>
      </c>
      <c r="Q66" s="78" t="s">
        <v>46</v>
      </c>
    </row>
    <row r="67" spans="7:17" x14ac:dyDescent="0.25">
      <c r="G67" s="83"/>
      <c r="H67" s="80">
        <v>1350</v>
      </c>
      <c r="I67" s="43">
        <f t="shared" si="14"/>
        <v>149.377036</v>
      </c>
      <c r="J67" s="43">
        <f>(($J$68-$J$64)/($H$68-$H$64))*(H67-$H$64)+$J$64</f>
        <v>0.97017599999999238</v>
      </c>
      <c r="K67" s="43">
        <v>-2</v>
      </c>
      <c r="L67" s="43">
        <f t="shared" si="15"/>
        <v>2.9105279999999772E-2</v>
      </c>
      <c r="M67" s="43">
        <f t="shared" si="15"/>
        <v>-0.06</v>
      </c>
      <c r="N67" s="43">
        <f t="shared" si="16"/>
        <v>149.40614128000001</v>
      </c>
      <c r="O67" s="43">
        <f t="shared" si="19"/>
        <v>149.377036</v>
      </c>
      <c r="P67" s="42">
        <f t="shared" si="18"/>
        <v>149.317036</v>
      </c>
      <c r="Q67" s="78"/>
    </row>
    <row r="68" spans="7:17" x14ac:dyDescent="0.25">
      <c r="G68" s="83" t="s">
        <v>5</v>
      </c>
      <c r="H68" s="80">
        <v>1353.2182</v>
      </c>
      <c r="I68" s="43">
        <f t="shared" si="14"/>
        <v>149.44139999999999</v>
      </c>
      <c r="J68" s="43">
        <v>2</v>
      </c>
      <c r="K68" s="43">
        <v>-2</v>
      </c>
      <c r="L68" s="43">
        <f t="shared" si="15"/>
        <v>0.06</v>
      </c>
      <c r="M68" s="43">
        <f t="shared" si="15"/>
        <v>-0.06</v>
      </c>
      <c r="N68" s="43">
        <f t="shared" si="16"/>
        <v>149.50139999999999</v>
      </c>
      <c r="O68" s="43">
        <f t="shared" si="19"/>
        <v>149.44139999999999</v>
      </c>
      <c r="P68" s="42">
        <f t="shared" si="18"/>
        <v>149.38139999999999</v>
      </c>
      <c r="Q68" s="78" t="s">
        <v>5</v>
      </c>
    </row>
    <row r="69" spans="7:17" x14ac:dyDescent="0.25">
      <c r="G69" s="83"/>
      <c r="H69" s="80">
        <v>1355</v>
      </c>
      <c r="I69" s="43">
        <f t="shared" si="14"/>
        <v>149.477036</v>
      </c>
      <c r="J69" s="43">
        <f>(($J$73-$J$68)/($H$73-$H$68))*(H69-$H$68)+$J$68</f>
        <v>2.570175999999992</v>
      </c>
      <c r="K69" s="43">
        <f>-J69</f>
        <v>-2.570175999999992</v>
      </c>
      <c r="L69" s="43">
        <f t="shared" si="15"/>
        <v>7.7105279999999762E-2</v>
      </c>
      <c r="M69" s="43">
        <f t="shared" si="15"/>
        <v>-7.7105279999999762E-2</v>
      </c>
      <c r="N69" s="43">
        <f t="shared" si="16"/>
        <v>149.55414128000001</v>
      </c>
      <c r="O69" s="43">
        <f t="shared" si="19"/>
        <v>149.477036</v>
      </c>
      <c r="P69" s="42">
        <f t="shared" si="18"/>
        <v>149.39993071999999</v>
      </c>
      <c r="Q69" s="78"/>
    </row>
    <row r="70" spans="7:17" x14ac:dyDescent="0.25">
      <c r="G70" s="83"/>
      <c r="H70" s="80">
        <v>1360</v>
      </c>
      <c r="I70" s="43">
        <f t="shared" si="14"/>
        <v>149.57703599999999</v>
      </c>
      <c r="J70" s="43">
        <f>(($J$73-$J$68)/($H$73-$H$68))*(H70-$H$68)+$J$68</f>
        <v>4.1701759999999926</v>
      </c>
      <c r="K70" s="43">
        <f t="shared" ref="K70:K83" si="20">-J70</f>
        <v>-4.1701759999999926</v>
      </c>
      <c r="L70" s="43">
        <f t="shared" si="15"/>
        <v>0.12510527999999976</v>
      </c>
      <c r="M70" s="43">
        <f t="shared" si="15"/>
        <v>-0.12510527999999976</v>
      </c>
      <c r="N70" s="43">
        <f t="shared" si="16"/>
        <v>149.70214128000001</v>
      </c>
      <c r="O70" s="43">
        <f t="shared" si="19"/>
        <v>149.57703599999999</v>
      </c>
      <c r="P70" s="42">
        <f t="shared" si="18"/>
        <v>149.45193071999998</v>
      </c>
      <c r="Q70" s="78"/>
    </row>
    <row r="71" spans="7:17" x14ac:dyDescent="0.25">
      <c r="G71" s="83" t="s">
        <v>47</v>
      </c>
      <c r="H71" s="80">
        <v>1361.9682</v>
      </c>
      <c r="I71" s="43">
        <f t="shared" si="14"/>
        <v>149.6164</v>
      </c>
      <c r="J71" s="43">
        <f>(($J$73-$J$68)/($H$73-$H$68))*(H71-$H$68)+$J$68</f>
        <v>4.8000000000000007</v>
      </c>
      <c r="K71" s="43">
        <f t="shared" si="20"/>
        <v>-4.8000000000000007</v>
      </c>
      <c r="L71" s="43">
        <f t="shared" si="15"/>
        <v>0.14400000000000002</v>
      </c>
      <c r="M71" s="43">
        <f t="shared" si="15"/>
        <v>-0.14400000000000002</v>
      </c>
      <c r="N71" s="43">
        <f t="shared" si="16"/>
        <v>149.7604</v>
      </c>
      <c r="O71" s="43">
        <f t="shared" si="19"/>
        <v>149.6164</v>
      </c>
      <c r="P71" s="42">
        <f t="shared" si="18"/>
        <v>149.47239999999999</v>
      </c>
      <c r="Q71" s="78" t="s">
        <v>47</v>
      </c>
    </row>
    <row r="72" spans="7:17" x14ac:dyDescent="0.25">
      <c r="G72" s="83"/>
      <c r="H72" s="80">
        <v>1365</v>
      </c>
      <c r="I72" s="43">
        <f t="shared" ref="I72:I102" si="21">$C$14+$C$9*(H72-$F$10)</f>
        <v>149.67703599999999</v>
      </c>
      <c r="J72" s="43">
        <f>(($J$73-$J$68)/($H$73-$H$68))*(H72-$H$68)+$J$68</f>
        <v>5.7701759999999922</v>
      </c>
      <c r="K72" s="43">
        <f t="shared" si="20"/>
        <v>-5.7701759999999922</v>
      </c>
      <c r="L72" s="43">
        <f t="shared" si="15"/>
        <v>0.17310527999999978</v>
      </c>
      <c r="M72" s="43">
        <f t="shared" si="15"/>
        <v>-0.17310527999999978</v>
      </c>
      <c r="N72" s="43">
        <f t="shared" si="16"/>
        <v>149.85014127999997</v>
      </c>
      <c r="O72" s="43">
        <f t="shared" si="19"/>
        <v>149.67703599999999</v>
      </c>
      <c r="P72" s="42">
        <f t="shared" si="18"/>
        <v>149.50393072</v>
      </c>
      <c r="Q72" s="78"/>
    </row>
    <row r="73" spans="7:17" x14ac:dyDescent="0.25">
      <c r="G73" s="83" t="s">
        <v>48</v>
      </c>
      <c r="H73" s="80">
        <v>1365.7182</v>
      </c>
      <c r="I73" s="43">
        <f t="shared" si="21"/>
        <v>149.69139999999999</v>
      </c>
      <c r="J73" s="43">
        <v>6</v>
      </c>
      <c r="K73" s="43">
        <f t="shared" si="20"/>
        <v>-6</v>
      </c>
      <c r="L73" s="43">
        <f t="shared" si="15"/>
        <v>0.18</v>
      </c>
      <c r="M73" s="43">
        <f t="shared" si="15"/>
        <v>-0.18</v>
      </c>
      <c r="N73" s="43">
        <f t="shared" si="16"/>
        <v>149.87139999999999</v>
      </c>
      <c r="O73" s="43">
        <f t="shared" si="19"/>
        <v>149.69139999999999</v>
      </c>
      <c r="P73" s="42">
        <f t="shared" si="18"/>
        <v>149.51139999999998</v>
      </c>
      <c r="Q73" s="78" t="s">
        <v>48</v>
      </c>
    </row>
    <row r="74" spans="7:17" x14ac:dyDescent="0.25">
      <c r="G74" s="83"/>
      <c r="H74" s="80">
        <v>1370</v>
      </c>
      <c r="I74" s="43">
        <f t="shared" si="21"/>
        <v>149.77703600000001</v>
      </c>
      <c r="J74" s="43">
        <v>6</v>
      </c>
      <c r="K74" s="43">
        <f t="shared" si="20"/>
        <v>-6</v>
      </c>
      <c r="L74" s="43">
        <f t="shared" si="15"/>
        <v>0.18</v>
      </c>
      <c r="M74" s="43">
        <f t="shared" si="15"/>
        <v>-0.18</v>
      </c>
      <c r="N74" s="43">
        <f t="shared" si="16"/>
        <v>149.95703600000002</v>
      </c>
      <c r="O74" s="43">
        <f t="shared" si="19"/>
        <v>149.77703600000001</v>
      </c>
      <c r="P74" s="42">
        <f t="shared" si="18"/>
        <v>149.597036</v>
      </c>
      <c r="Q74" s="78"/>
    </row>
    <row r="75" spans="7:17" x14ac:dyDescent="0.25">
      <c r="G75" s="83"/>
      <c r="H75" s="80">
        <v>1375</v>
      </c>
      <c r="I75" s="43">
        <f t="shared" si="21"/>
        <v>149.877036</v>
      </c>
      <c r="J75" s="43">
        <v>6</v>
      </c>
      <c r="K75" s="43">
        <f t="shared" si="20"/>
        <v>-6</v>
      </c>
      <c r="L75" s="43">
        <f t="shared" si="15"/>
        <v>0.18</v>
      </c>
      <c r="M75" s="43">
        <f t="shared" si="15"/>
        <v>-0.18</v>
      </c>
      <c r="N75" s="43">
        <f t="shared" si="16"/>
        <v>150.05703600000001</v>
      </c>
      <c r="O75" s="43">
        <f t="shared" si="19"/>
        <v>149.877036</v>
      </c>
      <c r="P75" s="42">
        <f t="shared" si="18"/>
        <v>149.697036</v>
      </c>
      <c r="Q75" s="78"/>
    </row>
    <row r="76" spans="7:17" x14ac:dyDescent="0.25">
      <c r="G76" s="83"/>
      <c r="H76" s="80">
        <v>1380</v>
      </c>
      <c r="I76" s="43">
        <f t="shared" si="21"/>
        <v>149.977036</v>
      </c>
      <c r="J76" s="43">
        <v>6</v>
      </c>
      <c r="K76" s="43">
        <f t="shared" si="20"/>
        <v>-6</v>
      </c>
      <c r="L76" s="43">
        <f t="shared" si="15"/>
        <v>0.18</v>
      </c>
      <c r="M76" s="43">
        <f t="shared" si="15"/>
        <v>-0.18</v>
      </c>
      <c r="N76" s="43">
        <f t="shared" si="16"/>
        <v>150.15703600000001</v>
      </c>
      <c r="O76" s="43">
        <f t="shared" si="19"/>
        <v>149.977036</v>
      </c>
      <c r="P76" s="42">
        <f t="shared" si="18"/>
        <v>149.79703599999999</v>
      </c>
      <c r="Q76" s="78"/>
    </row>
    <row r="77" spans="7:17" x14ac:dyDescent="0.25">
      <c r="G77" s="83"/>
      <c r="H77" s="80">
        <v>1385</v>
      </c>
      <c r="I77" s="43">
        <f t="shared" si="21"/>
        <v>150.07703599999999</v>
      </c>
      <c r="J77" s="43">
        <v>6</v>
      </c>
      <c r="K77" s="43">
        <f t="shared" si="20"/>
        <v>-6</v>
      </c>
      <c r="L77" s="43">
        <f t="shared" si="15"/>
        <v>0.18</v>
      </c>
      <c r="M77" s="43">
        <f t="shared" si="15"/>
        <v>-0.18</v>
      </c>
      <c r="N77" s="43">
        <f t="shared" si="16"/>
        <v>150.257036</v>
      </c>
      <c r="O77" s="43">
        <f t="shared" si="19"/>
        <v>150.07703599999999</v>
      </c>
      <c r="P77" s="42">
        <f t="shared" si="18"/>
        <v>149.89703599999999</v>
      </c>
      <c r="Q77" s="78"/>
    </row>
    <row r="78" spans="7:17" x14ac:dyDescent="0.25">
      <c r="G78" s="83"/>
      <c r="H78" s="80">
        <v>1390</v>
      </c>
      <c r="I78" s="43">
        <f t="shared" si="21"/>
        <v>150.17703599999999</v>
      </c>
      <c r="J78" s="43">
        <v>6</v>
      </c>
      <c r="K78" s="43">
        <f t="shared" si="20"/>
        <v>-6</v>
      </c>
      <c r="L78" s="43">
        <f t="shared" si="15"/>
        <v>0.18</v>
      </c>
      <c r="M78" s="43">
        <f t="shared" si="15"/>
        <v>-0.18</v>
      </c>
      <c r="N78" s="43">
        <f t="shared" si="16"/>
        <v>150.35703599999999</v>
      </c>
      <c r="O78" s="43">
        <f t="shared" si="19"/>
        <v>150.17703599999999</v>
      </c>
      <c r="P78" s="42">
        <f t="shared" si="18"/>
        <v>149.99703599999998</v>
      </c>
      <c r="Q78" s="78"/>
    </row>
    <row r="79" spans="7:17" x14ac:dyDescent="0.25">
      <c r="G79" s="83" t="s">
        <v>2</v>
      </c>
      <c r="H79" s="80">
        <v>1394.2822000000001</v>
      </c>
      <c r="I79" s="43">
        <f t="shared" si="21"/>
        <v>150.26267999999999</v>
      </c>
      <c r="J79" s="43">
        <v>6</v>
      </c>
      <c r="K79" s="43">
        <f t="shared" si="20"/>
        <v>-6</v>
      </c>
      <c r="L79" s="43">
        <f t="shared" si="15"/>
        <v>0.18</v>
      </c>
      <c r="M79" s="43">
        <f t="shared" si="15"/>
        <v>-0.18</v>
      </c>
      <c r="N79" s="43">
        <f t="shared" si="16"/>
        <v>150.44268</v>
      </c>
      <c r="O79" s="43">
        <f t="shared" si="19"/>
        <v>150.26267999999999</v>
      </c>
      <c r="P79" s="42">
        <f t="shared" si="18"/>
        <v>150.08267999999998</v>
      </c>
      <c r="Q79" s="78" t="s">
        <v>2</v>
      </c>
    </row>
    <row r="80" spans="7:17" x14ac:dyDescent="0.25">
      <c r="G80" s="83"/>
      <c r="H80" s="80">
        <v>1395</v>
      </c>
      <c r="I80" s="43">
        <f t="shared" si="21"/>
        <v>150.27703600000001</v>
      </c>
      <c r="J80" s="43">
        <f>(($J$84-$J$79)/($H$84-$H$79))*(H80-$H$79)+$J$79</f>
        <v>5.7703040000000332</v>
      </c>
      <c r="K80" s="43">
        <f t="shared" si="20"/>
        <v>-5.7703040000000332</v>
      </c>
      <c r="L80" s="43">
        <f t="shared" si="15"/>
        <v>0.173109120000001</v>
      </c>
      <c r="M80" s="43">
        <f t="shared" si="15"/>
        <v>-0.173109120000001</v>
      </c>
      <c r="N80" s="43">
        <f t="shared" si="16"/>
        <v>150.45014512</v>
      </c>
      <c r="O80" s="43">
        <f t="shared" si="19"/>
        <v>150.27703600000001</v>
      </c>
      <c r="P80" s="42">
        <f t="shared" si="18"/>
        <v>150.10392688000002</v>
      </c>
      <c r="Q80" s="78"/>
    </row>
    <row r="81" spans="7:17" x14ac:dyDescent="0.25">
      <c r="G81" s="83" t="s">
        <v>49</v>
      </c>
      <c r="H81" s="80">
        <v>1398.0322000000001</v>
      </c>
      <c r="I81" s="43">
        <f t="shared" si="21"/>
        <v>150.33768000000001</v>
      </c>
      <c r="J81" s="43">
        <f>(($J$84-$J$79)/($H$84-$H$79))*(H81-$H$79)+$J$79</f>
        <v>4.8</v>
      </c>
      <c r="K81" s="43">
        <f t="shared" si="20"/>
        <v>-4.8</v>
      </c>
      <c r="L81" s="43">
        <f t="shared" si="15"/>
        <v>0.14399999999999999</v>
      </c>
      <c r="M81" s="43">
        <f t="shared" si="15"/>
        <v>-0.14399999999999999</v>
      </c>
      <c r="N81" s="43">
        <f t="shared" si="16"/>
        <v>150.48168000000001</v>
      </c>
      <c r="O81" s="43">
        <f t="shared" si="19"/>
        <v>150.33768000000001</v>
      </c>
      <c r="P81" s="42">
        <f t="shared" si="18"/>
        <v>150.19368</v>
      </c>
      <c r="Q81" s="78" t="s">
        <v>49</v>
      </c>
    </row>
    <row r="82" spans="7:17" x14ac:dyDescent="0.25">
      <c r="G82" s="83"/>
      <c r="H82" s="80">
        <v>1400</v>
      </c>
      <c r="I82" s="43">
        <f t="shared" si="21"/>
        <v>150.377036</v>
      </c>
      <c r="J82" s="43">
        <f>(($J$84-$J$79)/($H$84-$H$79))*(H82-$H$79)+$J$79</f>
        <v>4.1703040000000327</v>
      </c>
      <c r="K82" s="43">
        <f t="shared" si="20"/>
        <v>-4.1703040000000327</v>
      </c>
      <c r="L82" s="43">
        <f t="shared" si="15"/>
        <v>0.12510912000000096</v>
      </c>
      <c r="M82" s="43">
        <f t="shared" si="15"/>
        <v>-0.12510912000000096</v>
      </c>
      <c r="N82" s="43">
        <f t="shared" si="16"/>
        <v>150.50214511999999</v>
      </c>
      <c r="O82" s="43">
        <f t="shared" si="19"/>
        <v>150.377036</v>
      </c>
      <c r="P82" s="42">
        <f t="shared" si="18"/>
        <v>150.25192688000001</v>
      </c>
      <c r="Q82" s="78"/>
    </row>
    <row r="83" spans="7:17" x14ac:dyDescent="0.25">
      <c r="G83" s="83"/>
      <c r="H83" s="80">
        <v>1405</v>
      </c>
      <c r="I83" s="43">
        <f t="shared" si="21"/>
        <v>150.477036</v>
      </c>
      <c r="J83" s="43">
        <f>(($J$84-$J$79)/($H$84-$H$79))*(H83-$H$79)+$J$79</f>
        <v>2.5703040000000326</v>
      </c>
      <c r="K83" s="43">
        <f t="shared" si="20"/>
        <v>-2.5703040000000326</v>
      </c>
      <c r="L83" s="43">
        <f t="shared" si="15"/>
        <v>7.7109120000000975E-2</v>
      </c>
      <c r="M83" s="43">
        <f t="shared" si="15"/>
        <v>-7.7109120000000975E-2</v>
      </c>
      <c r="N83" s="43">
        <f t="shared" si="16"/>
        <v>150.55414511999999</v>
      </c>
      <c r="O83" s="43">
        <f t="shared" si="19"/>
        <v>150.477036</v>
      </c>
      <c r="P83" s="42">
        <f t="shared" si="18"/>
        <v>150.39992688000001</v>
      </c>
      <c r="Q83" s="78"/>
    </row>
    <row r="84" spans="7:17" x14ac:dyDescent="0.25">
      <c r="G84" s="83" t="s">
        <v>0</v>
      </c>
      <c r="H84" s="80">
        <v>1406.7822000000001</v>
      </c>
      <c r="I84" s="43">
        <f t="shared" si="21"/>
        <v>150.51267999999999</v>
      </c>
      <c r="J84" s="43">
        <v>2</v>
      </c>
      <c r="K84" s="43">
        <v>-2</v>
      </c>
      <c r="L84" s="43">
        <f t="shared" si="15"/>
        <v>0.06</v>
      </c>
      <c r="M84" s="43">
        <f t="shared" si="15"/>
        <v>-0.06</v>
      </c>
      <c r="N84" s="43">
        <f t="shared" si="16"/>
        <v>150.57267999999999</v>
      </c>
      <c r="O84" s="43">
        <f t="shared" si="19"/>
        <v>150.51267999999999</v>
      </c>
      <c r="P84" s="42">
        <f t="shared" si="18"/>
        <v>150.45267999999999</v>
      </c>
      <c r="Q84" s="78" t="s">
        <v>0</v>
      </c>
    </row>
    <row r="85" spans="7:17" x14ac:dyDescent="0.25">
      <c r="G85" s="83"/>
      <c r="H85" s="80">
        <v>1410</v>
      </c>
      <c r="I85" s="43">
        <f t="shared" si="21"/>
        <v>150.57703599999999</v>
      </c>
      <c r="J85" s="43">
        <f>(($J$88-$J$84)/($H$88-$H$84))*(H85-$H$84)+$J$84</f>
        <v>0.97030400000003292</v>
      </c>
      <c r="K85" s="43">
        <v>-2</v>
      </c>
      <c r="L85" s="43">
        <f t="shared" si="15"/>
        <v>2.9109120000000988E-2</v>
      </c>
      <c r="M85" s="43">
        <f t="shared" si="15"/>
        <v>-0.06</v>
      </c>
      <c r="N85" s="43">
        <f t="shared" si="16"/>
        <v>150.60614511999998</v>
      </c>
      <c r="O85" s="43">
        <f t="shared" si="19"/>
        <v>150.57703599999999</v>
      </c>
      <c r="P85" s="42">
        <f t="shared" si="18"/>
        <v>150.51703599999999</v>
      </c>
      <c r="Q85" s="78"/>
    </row>
    <row r="86" spans="7:17" x14ac:dyDescent="0.25">
      <c r="G86" s="83" t="s">
        <v>52</v>
      </c>
      <c r="H86" s="80">
        <f>C40</f>
        <v>1413.0322000000001</v>
      </c>
      <c r="I86" s="43">
        <f t="shared" si="21"/>
        <v>150.63767999999999</v>
      </c>
      <c r="J86" s="43">
        <f>(($J$88-$J$84)/($H$88-$H$84))*(H86-$H$84)+$J$84</f>
        <v>0</v>
      </c>
      <c r="K86" s="43">
        <v>-2</v>
      </c>
      <c r="L86" s="43">
        <f t="shared" si="15"/>
        <v>0</v>
      </c>
      <c r="M86" s="43">
        <f t="shared" si="15"/>
        <v>-0.06</v>
      </c>
      <c r="N86" s="43">
        <f t="shared" si="16"/>
        <v>150.63767999999999</v>
      </c>
      <c r="O86" s="43">
        <f t="shared" si="19"/>
        <v>150.63767999999999</v>
      </c>
      <c r="P86" s="42">
        <f t="shared" si="18"/>
        <v>150.57767999999999</v>
      </c>
      <c r="Q86" s="78" t="s">
        <v>52</v>
      </c>
    </row>
    <row r="87" spans="7:17" x14ac:dyDescent="0.25">
      <c r="G87" s="83"/>
      <c r="H87" s="80">
        <v>1415</v>
      </c>
      <c r="I87" s="43">
        <f t="shared" si="21"/>
        <v>150.67703599999999</v>
      </c>
      <c r="J87" s="43">
        <f>(($J$88-$J$84)/($H$88-$H$84))*(H87-$H$84)+$J$84</f>
        <v>-0.62969599999996717</v>
      </c>
      <c r="K87" s="43">
        <v>-2</v>
      </c>
      <c r="L87" s="43">
        <f t="shared" si="15"/>
        <v>-1.8890879999999013E-2</v>
      </c>
      <c r="M87" s="43">
        <f t="shared" si="15"/>
        <v>-0.06</v>
      </c>
      <c r="N87" s="43">
        <f t="shared" si="16"/>
        <v>150.65814512</v>
      </c>
      <c r="O87" s="43">
        <f t="shared" si="19"/>
        <v>150.67703599999999</v>
      </c>
      <c r="P87" s="42">
        <f t="shared" si="18"/>
        <v>150.61703599999998</v>
      </c>
      <c r="Q87" s="78"/>
    </row>
    <row r="88" spans="7:17" ht="13.8" thickBot="1" x14ac:dyDescent="0.3">
      <c r="G88" s="84" t="s">
        <v>53</v>
      </c>
      <c r="H88" s="85">
        <f>C41</f>
        <v>1419.2822000000001</v>
      </c>
      <c r="I88" s="46">
        <f t="shared" si="21"/>
        <v>150.76267999999999</v>
      </c>
      <c r="J88" s="46">
        <v>-2</v>
      </c>
      <c r="K88" s="46">
        <v>-2</v>
      </c>
      <c r="L88" s="46">
        <f t="shared" si="15"/>
        <v>-0.06</v>
      </c>
      <c r="M88" s="46">
        <f t="shared" si="15"/>
        <v>-0.06</v>
      </c>
      <c r="N88" s="46">
        <f t="shared" si="16"/>
        <v>150.70267999999999</v>
      </c>
      <c r="O88" s="46">
        <f t="shared" si="19"/>
        <v>150.76267999999999</v>
      </c>
      <c r="P88" s="45">
        <f t="shared" si="18"/>
        <v>150.70267999999999</v>
      </c>
      <c r="Q88" s="79" t="s">
        <v>53</v>
      </c>
    </row>
    <row r="89" spans="7:17" x14ac:dyDescent="0.25">
      <c r="G89" s="53"/>
      <c r="H89" s="51"/>
      <c r="I89" s="73">
        <f t="shared" si="21"/>
        <v>122.377036</v>
      </c>
      <c r="J89" s="56" t="e">
        <f>(($J$43-$J$52)/($H$43-$H$52))*(#REF!-$H$52)+$J$52</f>
        <v>#REF!</v>
      </c>
      <c r="K89" s="57" t="e">
        <f t="shared" ref="K89:K94" si="22">-J89</f>
        <v>#REF!</v>
      </c>
      <c r="L89" s="56" t="e">
        <f t="shared" si="15"/>
        <v>#REF!</v>
      </c>
      <c r="M89" s="57" t="e">
        <f t="shared" si="15"/>
        <v>#REF!</v>
      </c>
      <c r="N89" s="58" t="e">
        <f t="shared" si="16"/>
        <v>#REF!</v>
      </c>
      <c r="O89" s="59">
        <f t="shared" si="19"/>
        <v>122.377036</v>
      </c>
      <c r="P89" s="57" t="e">
        <f t="shared" si="18"/>
        <v>#REF!</v>
      </c>
    </row>
    <row r="90" spans="7:17" x14ac:dyDescent="0.25">
      <c r="G90" s="40"/>
      <c r="H90" s="74"/>
      <c r="I90" s="41">
        <f t="shared" si="21"/>
        <v>122.377036</v>
      </c>
      <c r="J90" s="62" t="e">
        <f>(($J$43-$J$52)/($H$43-$H$52))*(#REF!-$H$52)+$J$52</f>
        <v>#REF!</v>
      </c>
      <c r="K90" s="63" t="e">
        <f t="shared" si="22"/>
        <v>#REF!</v>
      </c>
      <c r="L90" s="62" t="e">
        <f t="shared" si="15"/>
        <v>#REF!</v>
      </c>
      <c r="M90" s="63" t="e">
        <f t="shared" si="15"/>
        <v>#REF!</v>
      </c>
      <c r="N90" s="64" t="e">
        <f t="shared" si="16"/>
        <v>#REF!</v>
      </c>
      <c r="O90" s="65">
        <f t="shared" si="19"/>
        <v>122.377036</v>
      </c>
      <c r="P90" s="63" t="e">
        <f t="shared" si="18"/>
        <v>#REF!</v>
      </c>
    </row>
    <row r="91" spans="7:17" x14ac:dyDescent="0.25">
      <c r="G91" s="40"/>
      <c r="H91" s="74"/>
      <c r="I91" s="41">
        <f t="shared" si="21"/>
        <v>122.377036</v>
      </c>
      <c r="J91" s="62" t="e">
        <f>(($J$43-$J$52)/($H$43-$H$52))*(#REF!-$H$52)+$J$52</f>
        <v>#REF!</v>
      </c>
      <c r="K91" s="63" t="e">
        <f t="shared" si="22"/>
        <v>#REF!</v>
      </c>
      <c r="L91" s="62" t="e">
        <f t="shared" si="15"/>
        <v>#REF!</v>
      </c>
      <c r="M91" s="63" t="e">
        <f t="shared" si="15"/>
        <v>#REF!</v>
      </c>
      <c r="N91" s="64" t="e">
        <f t="shared" si="16"/>
        <v>#REF!</v>
      </c>
      <c r="O91" s="65">
        <f t="shared" si="19"/>
        <v>122.377036</v>
      </c>
      <c r="P91" s="63" t="e">
        <f t="shared" si="18"/>
        <v>#REF!</v>
      </c>
    </row>
    <row r="92" spans="7:17" x14ac:dyDescent="0.25">
      <c r="G92" s="40"/>
      <c r="H92" s="74"/>
      <c r="I92" s="41">
        <f t="shared" si="21"/>
        <v>122.377036</v>
      </c>
      <c r="J92" s="62" t="e">
        <f>(($J$43-$J$52)/($H$43-$H$52))*(#REF!-$H$52)+$J$52</f>
        <v>#REF!</v>
      </c>
      <c r="K92" s="63" t="e">
        <f t="shared" si="22"/>
        <v>#REF!</v>
      </c>
      <c r="L92" s="62" t="e">
        <f t="shared" si="15"/>
        <v>#REF!</v>
      </c>
      <c r="M92" s="63" t="e">
        <f t="shared" si="15"/>
        <v>#REF!</v>
      </c>
      <c r="N92" s="64" t="e">
        <f t="shared" si="16"/>
        <v>#REF!</v>
      </c>
      <c r="O92" s="65">
        <f t="shared" si="19"/>
        <v>122.377036</v>
      </c>
      <c r="P92" s="63" t="e">
        <f t="shared" si="18"/>
        <v>#REF!</v>
      </c>
    </row>
    <row r="93" spans="7:17" x14ac:dyDescent="0.25">
      <c r="G93" s="40"/>
      <c r="H93" s="74"/>
      <c r="I93" s="41">
        <f t="shared" si="21"/>
        <v>122.377036</v>
      </c>
      <c r="J93" s="62" t="e">
        <f>(($J$43-$J$52)/($H$43-$H$52))*(#REF!-$H$52)+$J$52</f>
        <v>#REF!</v>
      </c>
      <c r="K93" s="63" t="e">
        <f t="shared" si="22"/>
        <v>#REF!</v>
      </c>
      <c r="L93" s="62" t="e">
        <f t="shared" si="15"/>
        <v>#REF!</v>
      </c>
      <c r="M93" s="63" t="e">
        <f t="shared" si="15"/>
        <v>#REF!</v>
      </c>
      <c r="N93" s="64" t="e">
        <f t="shared" si="16"/>
        <v>#REF!</v>
      </c>
      <c r="O93" s="65">
        <f t="shared" si="19"/>
        <v>122.377036</v>
      </c>
      <c r="P93" s="63" t="e">
        <f t="shared" si="18"/>
        <v>#REF!</v>
      </c>
    </row>
    <row r="94" spans="7:17" x14ac:dyDescent="0.25">
      <c r="G94" s="40"/>
      <c r="H94" s="74"/>
      <c r="I94" s="41">
        <f t="shared" si="21"/>
        <v>122.377036</v>
      </c>
      <c r="J94" s="62" t="e">
        <f>(($J$43-$J$52)/($H$43-$H$52))*(#REF!-$H$52)+$J$52</f>
        <v>#REF!</v>
      </c>
      <c r="K94" s="63" t="e">
        <f t="shared" si="22"/>
        <v>#REF!</v>
      </c>
      <c r="L94" s="62" t="e">
        <f t="shared" si="15"/>
        <v>#REF!</v>
      </c>
      <c r="M94" s="63" t="e">
        <f t="shared" si="15"/>
        <v>#REF!</v>
      </c>
      <c r="N94" s="64" t="e">
        <f t="shared" si="16"/>
        <v>#REF!</v>
      </c>
      <c r="O94" s="65">
        <f t="shared" si="19"/>
        <v>122.377036</v>
      </c>
      <c r="P94" s="63" t="e">
        <f t="shared" si="18"/>
        <v>#REF!</v>
      </c>
    </row>
    <row r="95" spans="7:17" x14ac:dyDescent="0.25">
      <c r="G95" s="40"/>
      <c r="H95" s="74"/>
      <c r="I95" s="41">
        <f t="shared" si="21"/>
        <v>122.377036</v>
      </c>
      <c r="J95" s="62">
        <v>2</v>
      </c>
      <c r="K95" s="63">
        <v>-2</v>
      </c>
      <c r="L95" s="62">
        <f t="shared" si="15"/>
        <v>0.06</v>
      </c>
      <c r="M95" s="63">
        <f t="shared" si="15"/>
        <v>-0.06</v>
      </c>
      <c r="N95" s="64">
        <f t="shared" si="16"/>
        <v>122.43703600000001</v>
      </c>
      <c r="O95" s="65">
        <f t="shared" si="19"/>
        <v>122.377036</v>
      </c>
      <c r="P95" s="63">
        <f t="shared" si="18"/>
        <v>122.317036</v>
      </c>
    </row>
    <row r="96" spans="7:17" x14ac:dyDescent="0.25">
      <c r="G96" s="40"/>
      <c r="H96" s="74"/>
      <c r="I96" s="41">
        <f t="shared" si="21"/>
        <v>122.377036</v>
      </c>
      <c r="J96" s="62" t="e">
        <f>(($J$59-$J$52)/($H$59-$H$52))*(#REF!-$H$52)+$J$52</f>
        <v>#REF!</v>
      </c>
      <c r="K96" s="63">
        <v>-2</v>
      </c>
      <c r="L96" s="62" t="e">
        <f t="shared" si="15"/>
        <v>#REF!</v>
      </c>
      <c r="M96" s="63">
        <f t="shared" si="15"/>
        <v>-0.06</v>
      </c>
      <c r="N96" s="64" t="e">
        <f t="shared" si="16"/>
        <v>#REF!</v>
      </c>
      <c r="O96" s="65">
        <f t="shared" si="19"/>
        <v>122.377036</v>
      </c>
      <c r="P96" s="63">
        <f t="shared" si="18"/>
        <v>122.317036</v>
      </c>
    </row>
    <row r="97" spans="7:16" x14ac:dyDescent="0.25">
      <c r="G97" s="40"/>
      <c r="H97" s="74"/>
      <c r="I97" s="41">
        <f t="shared" si="21"/>
        <v>122.377036</v>
      </c>
      <c r="J97" s="62" t="e">
        <f>(($J$59-$J$52)/($H$59-$H$52))*(#REF!-$H$52)+$J$52</f>
        <v>#REF!</v>
      </c>
      <c r="K97" s="63">
        <v>-2</v>
      </c>
      <c r="L97" s="62" t="e">
        <f t="shared" si="15"/>
        <v>#REF!</v>
      </c>
      <c r="M97" s="63">
        <f t="shared" si="15"/>
        <v>-0.06</v>
      </c>
      <c r="N97" s="64" t="e">
        <f t="shared" si="16"/>
        <v>#REF!</v>
      </c>
      <c r="O97" s="65">
        <f t="shared" si="19"/>
        <v>122.377036</v>
      </c>
      <c r="P97" s="63">
        <f t="shared" si="18"/>
        <v>122.317036</v>
      </c>
    </row>
    <row r="98" spans="7:16" x14ac:dyDescent="0.25">
      <c r="G98" s="40"/>
      <c r="H98" s="74"/>
      <c r="I98" s="41">
        <f t="shared" si="21"/>
        <v>122.377036</v>
      </c>
      <c r="J98" s="62" t="e">
        <f>(($J$59-$J$52)/($H$59-$H$52))*(#REF!-$H$52)+$J$52</f>
        <v>#REF!</v>
      </c>
      <c r="K98" s="63">
        <v>-2</v>
      </c>
      <c r="L98" s="62" t="e">
        <f t="shared" si="15"/>
        <v>#REF!</v>
      </c>
      <c r="M98" s="63">
        <f t="shared" si="15"/>
        <v>-0.06</v>
      </c>
      <c r="N98" s="64" t="e">
        <f t="shared" si="16"/>
        <v>#REF!</v>
      </c>
      <c r="O98" s="65">
        <f t="shared" si="19"/>
        <v>122.377036</v>
      </c>
      <c r="P98" s="63">
        <f t="shared" si="18"/>
        <v>122.317036</v>
      </c>
    </row>
    <row r="99" spans="7:16" x14ac:dyDescent="0.25">
      <c r="G99" s="40"/>
      <c r="H99" s="74"/>
      <c r="I99" s="41">
        <f t="shared" si="21"/>
        <v>122.377036</v>
      </c>
      <c r="J99" s="62" t="e">
        <f>(($J$59-$J$52)/($H$59-$H$52))*(#REF!-$H$52)+$J$52</f>
        <v>#REF!</v>
      </c>
      <c r="K99" s="63">
        <v>-2</v>
      </c>
      <c r="L99" s="62" t="e">
        <f t="shared" si="15"/>
        <v>#REF!</v>
      </c>
      <c r="M99" s="63">
        <f t="shared" si="15"/>
        <v>-0.06</v>
      </c>
      <c r="N99" s="64" t="e">
        <f t="shared" si="16"/>
        <v>#REF!</v>
      </c>
      <c r="O99" s="65">
        <f t="shared" si="19"/>
        <v>122.377036</v>
      </c>
      <c r="P99" s="63">
        <f t="shared" si="18"/>
        <v>122.317036</v>
      </c>
    </row>
    <row r="100" spans="7:16" x14ac:dyDescent="0.25">
      <c r="G100" s="40"/>
      <c r="H100" s="74"/>
      <c r="I100" s="41">
        <f t="shared" si="21"/>
        <v>122.377036</v>
      </c>
      <c r="J100" s="62" t="e">
        <f>(($J$59-$J$52)/($H$59-$H$52))*(#REF!-$H$52)+$J$52</f>
        <v>#REF!</v>
      </c>
      <c r="K100" s="63">
        <v>-2</v>
      </c>
      <c r="L100" s="62" t="e">
        <f t="shared" si="15"/>
        <v>#REF!</v>
      </c>
      <c r="M100" s="63">
        <f t="shared" si="15"/>
        <v>-0.06</v>
      </c>
      <c r="N100" s="64" t="e">
        <f t="shared" si="16"/>
        <v>#REF!</v>
      </c>
      <c r="O100" s="65">
        <f t="shared" si="19"/>
        <v>122.377036</v>
      </c>
      <c r="P100" s="63">
        <f t="shared" si="18"/>
        <v>122.317036</v>
      </c>
    </row>
    <row r="101" spans="7:16" x14ac:dyDescent="0.25">
      <c r="G101" s="40" t="s">
        <v>0</v>
      </c>
      <c r="H101" s="74"/>
      <c r="I101" s="41">
        <f t="shared" si="21"/>
        <v>122.377036</v>
      </c>
      <c r="J101" s="62" t="e">
        <f>(($J$59-$J$52)/($H$59-$H$52))*(#REF!-$H$52)+$J$52</f>
        <v>#REF!</v>
      </c>
      <c r="K101" s="63">
        <v>-2</v>
      </c>
      <c r="L101" s="62" t="e">
        <f t="shared" si="15"/>
        <v>#REF!</v>
      </c>
      <c r="M101" s="63">
        <f t="shared" si="15"/>
        <v>-0.06</v>
      </c>
      <c r="N101" s="64" t="e">
        <f t="shared" si="16"/>
        <v>#REF!</v>
      </c>
      <c r="O101" s="65">
        <f t="shared" si="19"/>
        <v>122.377036</v>
      </c>
      <c r="P101" s="63">
        <f t="shared" si="18"/>
        <v>122.317036</v>
      </c>
    </row>
    <row r="102" spans="7:16" ht="13.8" thickBot="1" x14ac:dyDescent="0.3">
      <c r="G102" s="44"/>
      <c r="H102" s="75"/>
      <c r="I102" s="41">
        <f t="shared" si="21"/>
        <v>122.377036</v>
      </c>
      <c r="J102" s="69">
        <v>-2</v>
      </c>
      <c r="K102" s="70">
        <v>-2</v>
      </c>
      <c r="L102" s="69">
        <f t="shared" si="15"/>
        <v>-0.06</v>
      </c>
      <c r="M102" s="70">
        <f t="shared" si="15"/>
        <v>-0.06</v>
      </c>
      <c r="N102" s="71">
        <f t="shared" si="16"/>
        <v>122.317036</v>
      </c>
      <c r="O102" s="72">
        <f t="shared" si="19"/>
        <v>122.377036</v>
      </c>
      <c r="P102" s="70">
        <f t="shared" si="18"/>
        <v>122.317036</v>
      </c>
    </row>
  </sheetData>
  <pageMargins left="0.7" right="0.7" top="0.75" bottom="0.75" header="0.3" footer="0.3"/>
  <pageSetup paperSize="8" scale="97" orientation="landscape" horizontalDpi="1200" verticalDpi="1200" r:id="rId1"/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2F08-70C1-4061-ACC0-F0839D4E7EB8}">
  <dimension ref="B4:Q102"/>
  <sheetViews>
    <sheetView tabSelected="1" showWhiteSpace="0" topLeftCell="A16" zoomScale="70" zoomScaleNormal="70" zoomScaleSheetLayoutView="33" zoomScalePageLayoutView="53" workbookViewId="0">
      <selection activeCell="S28" sqref="S28"/>
    </sheetView>
  </sheetViews>
  <sheetFormatPr baseColWidth="10" defaultRowHeight="13.2" x14ac:dyDescent="0.25"/>
  <cols>
    <col min="1" max="1" width="10.90625" style="47"/>
    <col min="2" max="2" width="25.26953125" style="47" bestFit="1" customWidth="1"/>
    <col min="3" max="3" width="10.453125" style="47" bestFit="1" customWidth="1"/>
    <col min="4" max="4" width="10.90625" style="47"/>
    <col min="5" max="5" width="6.36328125" style="47" bestFit="1" customWidth="1"/>
    <col min="6" max="6" width="25.26953125" style="47" bestFit="1" customWidth="1"/>
    <col min="7" max="7" width="6.36328125" style="47" bestFit="1" customWidth="1"/>
    <col min="8" max="8" width="10.453125" style="47" bestFit="1" customWidth="1"/>
    <col min="9" max="9" width="8.26953125" style="47" bestFit="1" customWidth="1"/>
    <col min="10" max="10" width="12.54296875" style="47" bestFit="1" customWidth="1"/>
    <col min="11" max="11" width="12.1796875" style="47" bestFit="1" customWidth="1"/>
    <col min="12" max="12" width="8.1796875" style="47" bestFit="1" customWidth="1"/>
    <col min="13" max="13" width="7.7265625" style="47" bestFit="1" customWidth="1"/>
    <col min="14" max="14" width="9.7265625" style="47" bestFit="1" customWidth="1"/>
    <col min="15" max="15" width="8.26953125" style="47" bestFit="1" customWidth="1"/>
    <col min="16" max="16" width="9.26953125" style="47" bestFit="1" customWidth="1"/>
    <col min="17" max="17" width="6.36328125" style="47" bestFit="1" customWidth="1"/>
    <col min="18" max="18" width="16.1796875" style="47" bestFit="1" customWidth="1"/>
    <col min="19" max="19" width="10.81640625" style="47" bestFit="1" customWidth="1"/>
    <col min="20" max="20" width="9.90625" style="47" bestFit="1" customWidth="1"/>
    <col min="21" max="21" width="13.36328125" style="47" bestFit="1" customWidth="1"/>
    <col min="22" max="22" width="11.1796875" style="47" bestFit="1" customWidth="1"/>
    <col min="23" max="23" width="10.90625" style="47" bestFit="1" customWidth="1"/>
    <col min="24" max="24" width="8.1796875" style="47" customWidth="1"/>
    <col min="25" max="16384" width="10.90625" style="47"/>
  </cols>
  <sheetData>
    <row r="4" spans="2:8" x14ac:dyDescent="0.25">
      <c r="B4" s="47" t="s">
        <v>44</v>
      </c>
      <c r="E4" s="47" t="s">
        <v>43</v>
      </c>
    </row>
    <row r="5" spans="2:8" x14ac:dyDescent="0.25">
      <c r="B5" s="47" t="s">
        <v>42</v>
      </c>
      <c r="C5" s="47">
        <f>40</f>
        <v>40</v>
      </c>
      <c r="E5" s="47" t="s">
        <v>41</v>
      </c>
      <c r="F5" s="48"/>
      <c r="G5" s="47" t="s">
        <v>40</v>
      </c>
      <c r="H5" s="48">
        <v>8.8409999999999993</v>
      </c>
    </row>
    <row r="6" spans="2:8" x14ac:dyDescent="0.25">
      <c r="B6" s="47" t="s">
        <v>39</v>
      </c>
      <c r="C6" s="47">
        <v>6</v>
      </c>
      <c r="E6" s="47" t="s">
        <v>13</v>
      </c>
      <c r="F6" s="47">
        <f>C25</f>
        <v>8.82</v>
      </c>
    </row>
    <row r="7" spans="2:8" x14ac:dyDescent="0.25">
      <c r="B7" s="47" t="s">
        <v>38</v>
      </c>
      <c r="C7" s="47">
        <f>C6/2</f>
        <v>3</v>
      </c>
      <c r="F7" s="47" t="s">
        <v>8</v>
      </c>
    </row>
    <row r="8" spans="2:8" x14ac:dyDescent="0.25">
      <c r="B8" s="47" t="s">
        <v>37</v>
      </c>
      <c r="C8" s="47">
        <v>6</v>
      </c>
      <c r="E8" s="47" t="s">
        <v>23</v>
      </c>
      <c r="F8" s="47" t="s">
        <v>22</v>
      </c>
    </row>
    <row r="9" spans="2:8" x14ac:dyDescent="0.25">
      <c r="B9" s="47" t="s">
        <v>36</v>
      </c>
      <c r="C9" s="50">
        <v>0.02</v>
      </c>
      <c r="E9" s="47" t="s">
        <v>46</v>
      </c>
      <c r="F9" s="51">
        <v>2411.71</v>
      </c>
    </row>
    <row r="10" spans="2:8" x14ac:dyDescent="0.25">
      <c r="B10" s="47" t="s">
        <v>5</v>
      </c>
      <c r="C10" s="47">
        <v>5</v>
      </c>
      <c r="E10" s="47" t="s">
        <v>54</v>
      </c>
      <c r="F10" s="51">
        <f>F9+0.8*C25</f>
        <v>2418.7660000000001</v>
      </c>
    </row>
    <row r="11" spans="2:8" x14ac:dyDescent="0.25">
      <c r="B11" s="47" t="s">
        <v>51</v>
      </c>
      <c r="C11" s="47">
        <v>8.8409999999999993</v>
      </c>
      <c r="E11" s="47" t="s">
        <v>48</v>
      </c>
      <c r="F11" s="51">
        <f>F10+0.2*C25</f>
        <v>2420.5300000000002</v>
      </c>
    </row>
    <row r="12" spans="2:8" x14ac:dyDescent="0.25">
      <c r="B12" s="47" t="s">
        <v>16</v>
      </c>
      <c r="E12" s="47" t="s">
        <v>55</v>
      </c>
      <c r="F12" s="51">
        <f>F10+F6</f>
        <v>2427.5860000000002</v>
      </c>
    </row>
    <row r="13" spans="2:8" x14ac:dyDescent="0.25">
      <c r="B13" s="52" t="s">
        <v>45</v>
      </c>
      <c r="C13" s="47">
        <v>150</v>
      </c>
      <c r="E13" s="47" t="s">
        <v>2</v>
      </c>
      <c r="F13" s="51">
        <f>F14-0.2*C25</f>
        <v>2434.6420000000003</v>
      </c>
    </row>
    <row r="14" spans="2:8" x14ac:dyDescent="0.25">
      <c r="B14" s="47" t="s">
        <v>50</v>
      </c>
      <c r="C14" s="47">
        <f>ROUND(C13-C11*C9,4)</f>
        <v>149.82320000000001</v>
      </c>
      <c r="E14" s="47" t="s">
        <v>1</v>
      </c>
      <c r="F14" s="51">
        <f>F12+F6</f>
        <v>2436.4060000000004</v>
      </c>
    </row>
    <row r="15" spans="2:8" x14ac:dyDescent="0.25">
      <c r="B15" s="47" t="s">
        <v>31</v>
      </c>
      <c r="C15" s="47">
        <v>0.96</v>
      </c>
      <c r="E15" s="47" t="s">
        <v>0</v>
      </c>
      <c r="F15" s="51">
        <f>C39+(0.8*C25)-C27</f>
        <v>2437.2120000000004</v>
      </c>
    </row>
    <row r="16" spans="2:8" x14ac:dyDescent="0.25">
      <c r="B16" s="47" t="s">
        <v>29</v>
      </c>
      <c r="C16" s="47">
        <f>C7*0.1</f>
        <v>0.30000000000000004</v>
      </c>
      <c r="E16" s="47" t="s">
        <v>52</v>
      </c>
      <c r="F16" s="51">
        <f>F15+C27</f>
        <v>2443.4620000000004</v>
      </c>
    </row>
    <row r="17" spans="2:16" x14ac:dyDescent="0.25">
      <c r="B17" s="47" t="s">
        <v>28</v>
      </c>
      <c r="E17" s="47" t="s">
        <v>53</v>
      </c>
      <c r="F17" s="51">
        <f>F16+C27</f>
        <v>2449.7120000000004</v>
      </c>
    </row>
    <row r="18" spans="2:16" x14ac:dyDescent="0.25">
      <c r="B18" s="47" t="s">
        <v>27</v>
      </c>
    </row>
    <row r="19" spans="2:16" ht="13.8" thickBot="1" x14ac:dyDescent="0.3">
      <c r="B19" s="47" t="s">
        <v>26</v>
      </c>
      <c r="C19" s="47">
        <v>2</v>
      </c>
    </row>
    <row r="20" spans="2:16" ht="13.8" thickBot="1" x14ac:dyDescent="0.3">
      <c r="G20" s="33" t="s">
        <v>23</v>
      </c>
      <c r="H20" s="33" t="s">
        <v>22</v>
      </c>
      <c r="I20" s="33" t="s">
        <v>16</v>
      </c>
      <c r="J20" s="34" t="s">
        <v>21</v>
      </c>
      <c r="K20" s="35" t="s">
        <v>20</v>
      </c>
      <c r="L20" s="34" t="s">
        <v>19</v>
      </c>
      <c r="M20" s="35" t="s">
        <v>18</v>
      </c>
      <c r="N20" s="36" t="s">
        <v>17</v>
      </c>
      <c r="O20" s="37" t="s">
        <v>16</v>
      </c>
      <c r="P20" s="35" t="s">
        <v>15</v>
      </c>
    </row>
    <row r="21" spans="2:16" x14ac:dyDescent="0.25">
      <c r="B21" s="47" t="s">
        <v>25</v>
      </c>
      <c r="C21" s="47">
        <f>(C7*C8)/C16</f>
        <v>59.999999999999993</v>
      </c>
      <c r="G21" s="53" t="s">
        <v>7</v>
      </c>
      <c r="H21" s="54">
        <f>C32</f>
        <v>2405.46</v>
      </c>
      <c r="I21" s="55">
        <v>120</v>
      </c>
      <c r="J21" s="56">
        <v>-2</v>
      </c>
      <c r="K21" s="57">
        <v>-2</v>
      </c>
      <c r="L21" s="56">
        <f>($C$7*J21)/100</f>
        <v>-0.06</v>
      </c>
      <c r="M21" s="57">
        <f t="shared" ref="L21:M59" si="0">($C$7*K21)/100</f>
        <v>-0.06</v>
      </c>
      <c r="N21" s="58">
        <f>O21+L21</f>
        <v>119.94</v>
      </c>
      <c r="O21" s="59">
        <f t="shared" ref="O21:O59" si="1">I21</f>
        <v>120</v>
      </c>
      <c r="P21" s="57">
        <f t="shared" ref="P21:P59" si="2">O21+M21</f>
        <v>119.94</v>
      </c>
    </row>
    <row r="22" spans="2:16" x14ac:dyDescent="0.25">
      <c r="B22" s="47" t="s">
        <v>24</v>
      </c>
      <c r="C22" s="48">
        <f>(C7*C8)/C15</f>
        <v>18.75</v>
      </c>
      <c r="G22" s="40"/>
      <c r="H22" s="60">
        <f>CEILING(H21,5)</f>
        <v>2410</v>
      </c>
      <c r="I22" s="61">
        <f t="shared" ref="I22:I59" si="3">(H22-H21)*$C$90+I21</f>
        <v>120</v>
      </c>
      <c r="J22" s="62">
        <f t="shared" ref="J22:J27" si="4">(($J$28-$J$21)/($H$28-$H$21))*(H22-$H$21)+$J$21</f>
        <v>-0.54720000000001168</v>
      </c>
      <c r="K22" s="63">
        <v>-2</v>
      </c>
      <c r="L22" s="62">
        <f>($C$7*J22)/100</f>
        <v>-1.641600000000035E-2</v>
      </c>
      <c r="M22" s="63">
        <f t="shared" si="0"/>
        <v>-0.06</v>
      </c>
      <c r="N22" s="64">
        <f t="shared" ref="N22:N59" si="5">O22+L22</f>
        <v>119.98358399999999</v>
      </c>
      <c r="O22" s="65">
        <f>I22</f>
        <v>120</v>
      </c>
      <c r="P22" s="63">
        <f t="shared" si="2"/>
        <v>119.94</v>
      </c>
    </row>
    <row r="23" spans="2:16" x14ac:dyDescent="0.25">
      <c r="B23" s="47" t="s">
        <v>14</v>
      </c>
      <c r="C23" s="48">
        <v>8.82</v>
      </c>
      <c r="G23" s="40"/>
      <c r="H23" s="60"/>
      <c r="I23" s="61">
        <f t="shared" si="3"/>
        <v>120</v>
      </c>
      <c r="J23" s="62">
        <f t="shared" si="4"/>
        <v>-771.74720000000002</v>
      </c>
      <c r="K23" s="63">
        <v>-2</v>
      </c>
      <c r="L23" s="62">
        <f t="shared" si="0"/>
        <v>-23.152416000000002</v>
      </c>
      <c r="M23" s="63">
        <f t="shared" si="0"/>
        <v>-0.06</v>
      </c>
      <c r="N23" s="64">
        <f t="shared" si="5"/>
        <v>96.847583999999998</v>
      </c>
      <c r="O23" s="65">
        <f t="shared" si="1"/>
        <v>120</v>
      </c>
      <c r="P23" s="63">
        <f t="shared" si="2"/>
        <v>119.94</v>
      </c>
    </row>
    <row r="24" spans="2:16" x14ac:dyDescent="0.25">
      <c r="B24" s="47" t="s">
        <v>13</v>
      </c>
      <c r="C24" s="48">
        <f>C23</f>
        <v>8.82</v>
      </c>
      <c r="G24" s="40"/>
      <c r="H24" s="60"/>
      <c r="I24" s="61">
        <f t="shared" si="3"/>
        <v>120</v>
      </c>
      <c r="J24" s="62">
        <f t="shared" si="4"/>
        <v>-771.74720000000002</v>
      </c>
      <c r="K24" s="63">
        <v>-2</v>
      </c>
      <c r="L24" s="62">
        <f>($C$7*J24)/100</f>
        <v>-23.152416000000002</v>
      </c>
      <c r="M24" s="63">
        <f t="shared" si="0"/>
        <v>-0.06</v>
      </c>
      <c r="N24" s="64">
        <f t="shared" si="5"/>
        <v>96.847583999999998</v>
      </c>
      <c r="O24" s="65">
        <f t="shared" si="1"/>
        <v>120</v>
      </c>
      <c r="P24" s="63">
        <f t="shared" si="2"/>
        <v>119.94</v>
      </c>
    </row>
    <row r="25" spans="2:16" x14ac:dyDescent="0.25">
      <c r="B25" s="47" t="s">
        <v>12</v>
      </c>
      <c r="C25" s="47">
        <f>IF(C24&gt;C23,C24,C23)</f>
        <v>8.82</v>
      </c>
      <c r="G25" s="40" t="str">
        <f>B33</f>
        <v>B</v>
      </c>
      <c r="H25" s="60">
        <f>C33</f>
        <v>2411.71</v>
      </c>
      <c r="I25" s="61">
        <f t="shared" si="3"/>
        <v>120</v>
      </c>
      <c r="J25" s="62">
        <f t="shared" si="4"/>
        <v>0</v>
      </c>
      <c r="K25" s="63">
        <v>-2</v>
      </c>
      <c r="L25" s="62">
        <f t="shared" si="0"/>
        <v>0</v>
      </c>
      <c r="M25" s="63">
        <f t="shared" si="0"/>
        <v>-0.06</v>
      </c>
      <c r="N25" s="64">
        <f t="shared" si="5"/>
        <v>120</v>
      </c>
      <c r="O25" s="65">
        <f t="shared" si="1"/>
        <v>120</v>
      </c>
      <c r="P25" s="63">
        <f t="shared" si="2"/>
        <v>119.94</v>
      </c>
    </row>
    <row r="26" spans="2:16" x14ac:dyDescent="0.25">
      <c r="B26" s="47" t="s">
        <v>11</v>
      </c>
      <c r="C26" s="48">
        <f>(C7*C8)/C25</f>
        <v>2.0408163265306123</v>
      </c>
      <c r="G26" s="40"/>
      <c r="H26" s="60">
        <f>CEILING(H25,5)</f>
        <v>2415</v>
      </c>
      <c r="I26" s="61">
        <f t="shared" si="3"/>
        <v>120</v>
      </c>
      <c r="J26" s="62">
        <f t="shared" si="4"/>
        <v>1.0527999999999884</v>
      </c>
      <c r="K26" s="63">
        <v>-2</v>
      </c>
      <c r="L26" s="62">
        <f t="shared" si="0"/>
        <v>3.1583999999999654E-2</v>
      </c>
      <c r="M26" s="63">
        <f t="shared" si="0"/>
        <v>-0.06</v>
      </c>
      <c r="N26" s="64">
        <f t="shared" si="5"/>
        <v>120.031584</v>
      </c>
      <c r="O26" s="65">
        <f t="shared" si="1"/>
        <v>120</v>
      </c>
      <c r="P26" s="63">
        <f t="shared" si="2"/>
        <v>119.94</v>
      </c>
    </row>
    <row r="27" spans="2:16" x14ac:dyDescent="0.25">
      <c r="B27" s="47" t="s">
        <v>10</v>
      </c>
      <c r="C27" s="47">
        <f>(C7*C19)/C15</f>
        <v>6.25</v>
      </c>
      <c r="G27" s="40"/>
      <c r="H27" s="60"/>
      <c r="I27" s="61">
        <f t="shared" si="3"/>
        <v>120</v>
      </c>
      <c r="J27" s="62">
        <f t="shared" si="4"/>
        <v>-771.74720000000002</v>
      </c>
      <c r="K27" s="63">
        <v>-2</v>
      </c>
      <c r="L27" s="62">
        <f t="shared" si="0"/>
        <v>-23.152416000000002</v>
      </c>
      <c r="M27" s="63">
        <f t="shared" si="0"/>
        <v>-0.06</v>
      </c>
      <c r="N27" s="64">
        <f t="shared" si="5"/>
        <v>96.847583999999998</v>
      </c>
      <c r="O27" s="65">
        <f t="shared" si="1"/>
        <v>120</v>
      </c>
      <c r="P27" s="63">
        <f t="shared" si="2"/>
        <v>119.94</v>
      </c>
    </row>
    <row r="28" spans="2:16" x14ac:dyDescent="0.25">
      <c r="B28" s="47" t="s">
        <v>9</v>
      </c>
      <c r="C28" s="47">
        <f>C27+C25</f>
        <v>15.07</v>
      </c>
      <c r="G28" s="40" t="str">
        <f>B34</f>
        <v>C</v>
      </c>
      <c r="H28" s="60">
        <f>C34</f>
        <v>2417.96</v>
      </c>
      <c r="I28" s="61">
        <f t="shared" si="3"/>
        <v>120</v>
      </c>
      <c r="J28" s="62">
        <v>2</v>
      </c>
      <c r="K28" s="63">
        <v>-2</v>
      </c>
      <c r="L28" s="62">
        <f t="shared" si="0"/>
        <v>0.06</v>
      </c>
      <c r="M28" s="63">
        <f t="shared" si="0"/>
        <v>-0.06</v>
      </c>
      <c r="N28" s="64">
        <f t="shared" si="5"/>
        <v>120.06</v>
      </c>
      <c r="O28" s="65">
        <f t="shared" si="1"/>
        <v>120</v>
      </c>
      <c r="P28" s="63">
        <f t="shared" si="2"/>
        <v>119.94</v>
      </c>
    </row>
    <row r="29" spans="2:16" x14ac:dyDescent="0.25">
      <c r="G29" s="40"/>
      <c r="H29" s="60"/>
      <c r="I29" s="61">
        <f t="shared" si="3"/>
        <v>120</v>
      </c>
      <c r="J29" s="62">
        <f t="shared" ref="J29:J36" si="6">(($J$37-$J$28)/($H$37-$H$28))*(H29-$H$28)+$J$28</f>
        <v>-17997.702233249729</v>
      </c>
      <c r="K29" s="63">
        <f t="shared" ref="K29:K36" si="7">-J29</f>
        <v>17997.702233249729</v>
      </c>
      <c r="L29" s="62">
        <f t="shared" si="0"/>
        <v>-539.93106699749183</v>
      </c>
      <c r="M29" s="63">
        <f t="shared" si="0"/>
        <v>539.93106699749183</v>
      </c>
      <c r="N29" s="64">
        <f t="shared" si="5"/>
        <v>-419.93106699749183</v>
      </c>
      <c r="O29" s="65">
        <f t="shared" si="1"/>
        <v>120</v>
      </c>
      <c r="P29" s="63">
        <f t="shared" si="2"/>
        <v>659.93106699749183</v>
      </c>
    </row>
    <row r="30" spans="2:16" x14ac:dyDescent="0.25">
      <c r="G30" s="40"/>
      <c r="H30" s="60"/>
      <c r="I30" s="61">
        <f t="shared" si="3"/>
        <v>120</v>
      </c>
      <c r="J30" s="62">
        <f t="shared" si="6"/>
        <v>-17997.702233249729</v>
      </c>
      <c r="K30" s="63">
        <f>-J30</f>
        <v>17997.702233249729</v>
      </c>
      <c r="L30" s="62">
        <f t="shared" si="0"/>
        <v>-539.93106699749183</v>
      </c>
      <c r="M30" s="63">
        <f t="shared" si="0"/>
        <v>539.93106699749183</v>
      </c>
      <c r="N30" s="64">
        <f t="shared" si="5"/>
        <v>-419.93106699749183</v>
      </c>
      <c r="O30" s="65">
        <f t="shared" si="1"/>
        <v>120</v>
      </c>
      <c r="P30" s="63">
        <f t="shared" si="2"/>
        <v>659.93106699749183</v>
      </c>
    </row>
    <row r="31" spans="2:16" x14ac:dyDescent="0.25">
      <c r="B31" s="47" t="s">
        <v>8</v>
      </c>
      <c r="G31" s="40"/>
      <c r="H31" s="60"/>
      <c r="I31" s="61">
        <f t="shared" si="3"/>
        <v>120</v>
      </c>
      <c r="J31" s="62">
        <f t="shared" si="6"/>
        <v>-17997.702233249729</v>
      </c>
      <c r="K31" s="63">
        <f t="shared" si="7"/>
        <v>17997.702233249729</v>
      </c>
      <c r="L31" s="62">
        <f t="shared" si="0"/>
        <v>-539.93106699749183</v>
      </c>
      <c r="M31" s="63">
        <f t="shared" si="0"/>
        <v>539.93106699749183</v>
      </c>
      <c r="N31" s="64">
        <f t="shared" si="5"/>
        <v>-419.93106699749183</v>
      </c>
      <c r="O31" s="65">
        <f t="shared" si="1"/>
        <v>120</v>
      </c>
      <c r="P31" s="63">
        <f t="shared" si="2"/>
        <v>659.93106699749183</v>
      </c>
    </row>
    <row r="32" spans="2:16" x14ac:dyDescent="0.25">
      <c r="B32" s="47" t="s">
        <v>7</v>
      </c>
      <c r="C32" s="51">
        <f>C33-C27</f>
        <v>2405.46</v>
      </c>
      <c r="G32" s="40"/>
      <c r="H32" s="60"/>
      <c r="I32" s="61">
        <f t="shared" si="3"/>
        <v>120</v>
      </c>
      <c r="J32" s="62">
        <f t="shared" si="6"/>
        <v>-17997.702233249729</v>
      </c>
      <c r="K32" s="63">
        <f t="shared" si="7"/>
        <v>17997.702233249729</v>
      </c>
      <c r="L32" s="62">
        <f t="shared" si="0"/>
        <v>-539.93106699749183</v>
      </c>
      <c r="M32" s="63">
        <f t="shared" si="0"/>
        <v>539.93106699749183</v>
      </c>
      <c r="N32" s="64">
        <f t="shared" si="5"/>
        <v>-419.93106699749183</v>
      </c>
      <c r="O32" s="65">
        <f t="shared" si="1"/>
        <v>120</v>
      </c>
      <c r="P32" s="63">
        <f t="shared" si="2"/>
        <v>659.93106699749183</v>
      </c>
    </row>
    <row r="33" spans="2:16" x14ac:dyDescent="0.25">
      <c r="B33" s="47" t="s">
        <v>46</v>
      </c>
      <c r="C33" s="51">
        <f>F9</f>
        <v>2411.71</v>
      </c>
      <c r="G33" s="40"/>
      <c r="H33" s="60"/>
      <c r="I33" s="61">
        <f t="shared" si="3"/>
        <v>120</v>
      </c>
      <c r="J33" s="62">
        <f t="shared" si="6"/>
        <v>-17997.702233249729</v>
      </c>
      <c r="K33" s="63">
        <f>-J33</f>
        <v>17997.702233249729</v>
      </c>
      <c r="L33" s="62">
        <f t="shared" si="0"/>
        <v>-539.93106699749183</v>
      </c>
      <c r="M33" s="63">
        <f t="shared" si="0"/>
        <v>539.93106699749183</v>
      </c>
      <c r="N33" s="64">
        <f t="shared" si="5"/>
        <v>-419.93106699749183</v>
      </c>
      <c r="O33" s="65">
        <f t="shared" si="1"/>
        <v>120</v>
      </c>
      <c r="P33" s="63">
        <f t="shared" si="2"/>
        <v>659.93106699749183</v>
      </c>
    </row>
    <row r="34" spans="2:16" x14ac:dyDescent="0.25">
      <c r="B34" s="47" t="s">
        <v>5</v>
      </c>
      <c r="C34" s="51">
        <f>C33+C27</f>
        <v>2417.96</v>
      </c>
      <c r="G34" s="40"/>
      <c r="H34" s="60"/>
      <c r="I34" s="61">
        <f t="shared" si="3"/>
        <v>120</v>
      </c>
      <c r="J34" s="62">
        <f t="shared" si="6"/>
        <v>-17997.702233249729</v>
      </c>
      <c r="K34" s="63">
        <f t="shared" si="7"/>
        <v>17997.702233249729</v>
      </c>
      <c r="L34" s="62">
        <f t="shared" si="0"/>
        <v>-539.93106699749183</v>
      </c>
      <c r="M34" s="63">
        <f t="shared" si="0"/>
        <v>539.93106699749183</v>
      </c>
      <c r="N34" s="64">
        <f t="shared" si="5"/>
        <v>-419.93106699749183</v>
      </c>
      <c r="O34" s="65">
        <f t="shared" si="1"/>
        <v>120</v>
      </c>
      <c r="P34" s="63">
        <f t="shared" si="2"/>
        <v>659.93106699749183</v>
      </c>
    </row>
    <row r="35" spans="2:16" x14ac:dyDescent="0.25">
      <c r="B35" s="47" t="str">
        <f>E10</f>
        <v>D=TE</v>
      </c>
      <c r="C35" s="51">
        <f t="shared" ref="C35:C36" si="8">F10</f>
        <v>2418.7660000000001</v>
      </c>
      <c r="G35" s="40"/>
      <c r="H35" s="60"/>
      <c r="I35" s="61">
        <f t="shared" si="3"/>
        <v>120</v>
      </c>
      <c r="J35" s="62">
        <f t="shared" si="6"/>
        <v>-17997.702233249729</v>
      </c>
      <c r="K35" s="63">
        <f t="shared" si="7"/>
        <v>17997.702233249729</v>
      </c>
      <c r="L35" s="62">
        <f t="shared" si="0"/>
        <v>-539.93106699749183</v>
      </c>
      <c r="M35" s="63">
        <f t="shared" si="0"/>
        <v>539.93106699749183</v>
      </c>
      <c r="N35" s="64">
        <f t="shared" si="5"/>
        <v>-419.93106699749183</v>
      </c>
      <c r="O35" s="65">
        <f t="shared" si="1"/>
        <v>120</v>
      </c>
      <c r="P35" s="63">
        <f t="shared" si="2"/>
        <v>659.93106699749183</v>
      </c>
    </row>
    <row r="36" spans="2:16" x14ac:dyDescent="0.25">
      <c r="B36" s="47" t="s">
        <v>48</v>
      </c>
      <c r="C36" s="51">
        <f t="shared" si="8"/>
        <v>2420.5300000000002</v>
      </c>
      <c r="D36" s="66"/>
      <c r="G36" s="40"/>
      <c r="H36" s="60"/>
      <c r="I36" s="61">
        <f t="shared" si="3"/>
        <v>120</v>
      </c>
      <c r="J36" s="62">
        <f t="shared" si="6"/>
        <v>-17997.702233249729</v>
      </c>
      <c r="K36" s="63">
        <f t="shared" si="7"/>
        <v>17997.702233249729</v>
      </c>
      <c r="L36" s="62">
        <f t="shared" si="0"/>
        <v>-539.93106699749183</v>
      </c>
      <c r="M36" s="63">
        <f t="shared" si="0"/>
        <v>539.93106699749183</v>
      </c>
      <c r="N36" s="64">
        <f t="shared" si="5"/>
        <v>-419.93106699749183</v>
      </c>
      <c r="O36" s="65">
        <f t="shared" si="1"/>
        <v>120</v>
      </c>
      <c r="P36" s="63">
        <f t="shared" si="2"/>
        <v>659.93106699749183</v>
      </c>
    </row>
    <row r="37" spans="2:16" x14ac:dyDescent="0.25">
      <c r="B37" s="47" t="s">
        <v>55</v>
      </c>
      <c r="C37" s="51">
        <f t="shared" ref="C37:C42" si="9">F12</f>
        <v>2427.5860000000002</v>
      </c>
      <c r="D37" s="66"/>
      <c r="G37" s="40" t="str">
        <f>B35</f>
        <v>D=TE</v>
      </c>
      <c r="H37" s="60">
        <f>C35</f>
        <v>2418.7660000000001</v>
      </c>
      <c r="I37" s="61">
        <f t="shared" si="3"/>
        <v>120</v>
      </c>
      <c r="J37" s="62">
        <v>8</v>
      </c>
      <c r="K37" s="63">
        <v>-8</v>
      </c>
      <c r="L37" s="62">
        <f t="shared" si="0"/>
        <v>0.24</v>
      </c>
      <c r="M37" s="63">
        <f t="shared" si="0"/>
        <v>-0.24</v>
      </c>
      <c r="N37" s="64">
        <f t="shared" si="5"/>
        <v>120.24</v>
      </c>
      <c r="O37" s="65">
        <f t="shared" si="1"/>
        <v>120</v>
      </c>
      <c r="P37" s="63">
        <f t="shared" si="2"/>
        <v>119.76</v>
      </c>
    </row>
    <row r="38" spans="2:16" x14ac:dyDescent="0.25">
      <c r="B38" s="47" t="s">
        <v>2</v>
      </c>
      <c r="C38" s="51">
        <f t="shared" si="9"/>
        <v>2434.6420000000003</v>
      </c>
      <c r="G38" s="40"/>
      <c r="H38" s="60">
        <f>CEILING(H37,5)</f>
        <v>2420</v>
      </c>
      <c r="I38" s="61">
        <f t="shared" si="3"/>
        <v>120</v>
      </c>
      <c r="J38" s="62">
        <v>8</v>
      </c>
      <c r="K38" s="63">
        <v>-8</v>
      </c>
      <c r="L38" s="62">
        <f t="shared" si="0"/>
        <v>0.24</v>
      </c>
      <c r="M38" s="63">
        <f t="shared" si="0"/>
        <v>-0.24</v>
      </c>
      <c r="N38" s="64">
        <f t="shared" si="5"/>
        <v>120.24</v>
      </c>
      <c r="O38" s="65">
        <f t="shared" si="1"/>
        <v>120</v>
      </c>
      <c r="P38" s="63">
        <f t="shared" si="2"/>
        <v>119.76</v>
      </c>
    </row>
    <row r="39" spans="2:16" x14ac:dyDescent="0.25">
      <c r="B39" s="47" t="s">
        <v>1</v>
      </c>
      <c r="C39" s="51">
        <f t="shared" si="9"/>
        <v>2436.4060000000004</v>
      </c>
      <c r="G39" s="40"/>
      <c r="H39" s="60"/>
      <c r="I39" s="61">
        <f t="shared" si="3"/>
        <v>120</v>
      </c>
      <c r="J39" s="62">
        <v>8</v>
      </c>
      <c r="K39" s="63">
        <v>-8</v>
      </c>
      <c r="L39" s="62">
        <f t="shared" si="0"/>
        <v>0.24</v>
      </c>
      <c r="M39" s="63">
        <f t="shared" si="0"/>
        <v>-0.24</v>
      </c>
      <c r="N39" s="64">
        <f t="shared" si="5"/>
        <v>120.24</v>
      </c>
      <c r="O39" s="65">
        <f t="shared" si="1"/>
        <v>120</v>
      </c>
      <c r="P39" s="63">
        <f t="shared" si="2"/>
        <v>119.76</v>
      </c>
    </row>
    <row r="40" spans="2:16" x14ac:dyDescent="0.25">
      <c r="B40" s="47" t="s">
        <v>0</v>
      </c>
      <c r="C40" s="51">
        <f t="shared" si="9"/>
        <v>2437.2120000000004</v>
      </c>
      <c r="G40" s="40"/>
      <c r="H40" s="60"/>
      <c r="I40" s="61">
        <f t="shared" si="3"/>
        <v>120</v>
      </c>
      <c r="J40" s="62">
        <v>8</v>
      </c>
      <c r="K40" s="63">
        <v>-8</v>
      </c>
      <c r="L40" s="62">
        <f t="shared" si="0"/>
        <v>0.24</v>
      </c>
      <c r="M40" s="63">
        <f t="shared" si="0"/>
        <v>-0.24</v>
      </c>
      <c r="N40" s="64">
        <f t="shared" si="5"/>
        <v>120.24</v>
      </c>
      <c r="O40" s="65">
        <f t="shared" si="1"/>
        <v>120</v>
      </c>
      <c r="P40" s="63">
        <f t="shared" si="2"/>
        <v>119.76</v>
      </c>
    </row>
    <row r="41" spans="2:16" x14ac:dyDescent="0.25">
      <c r="B41" s="47" t="s">
        <v>52</v>
      </c>
      <c r="C41" s="51">
        <f t="shared" si="9"/>
        <v>2443.4620000000004</v>
      </c>
      <c r="G41" s="40"/>
      <c r="H41" s="60"/>
      <c r="I41" s="61">
        <f t="shared" si="3"/>
        <v>120</v>
      </c>
      <c r="J41" s="62">
        <v>8</v>
      </c>
      <c r="K41" s="63">
        <v>-8</v>
      </c>
      <c r="L41" s="62">
        <f t="shared" si="0"/>
        <v>0.24</v>
      </c>
      <c r="M41" s="63">
        <f t="shared" si="0"/>
        <v>-0.24</v>
      </c>
      <c r="N41" s="64">
        <f t="shared" si="5"/>
        <v>120.24</v>
      </c>
      <c r="O41" s="65">
        <f t="shared" si="1"/>
        <v>120</v>
      </c>
      <c r="P41" s="63">
        <f t="shared" si="2"/>
        <v>119.76</v>
      </c>
    </row>
    <row r="42" spans="2:16" x14ac:dyDescent="0.25">
      <c r="B42" s="47" t="s">
        <v>53</v>
      </c>
      <c r="C42" s="51">
        <f t="shared" si="9"/>
        <v>2449.7120000000004</v>
      </c>
      <c r="G42" s="40"/>
      <c r="H42" s="60"/>
      <c r="I42" s="61">
        <f t="shared" si="3"/>
        <v>120</v>
      </c>
      <c r="J42" s="62">
        <v>8</v>
      </c>
      <c r="K42" s="63">
        <v>-8</v>
      </c>
      <c r="L42" s="62">
        <f t="shared" si="0"/>
        <v>0.24</v>
      </c>
      <c r="M42" s="63">
        <f t="shared" si="0"/>
        <v>-0.24</v>
      </c>
      <c r="N42" s="64">
        <f t="shared" si="5"/>
        <v>120.24</v>
      </c>
      <c r="O42" s="65">
        <f t="shared" si="1"/>
        <v>120</v>
      </c>
      <c r="P42" s="63">
        <f t="shared" si="2"/>
        <v>119.76</v>
      </c>
    </row>
    <row r="43" spans="2:16" x14ac:dyDescent="0.25">
      <c r="G43" s="40" t="str">
        <f>B36</f>
        <v>E</v>
      </c>
      <c r="H43" s="60">
        <f>C36</f>
        <v>2420.5300000000002</v>
      </c>
      <c r="I43" s="61">
        <f t="shared" si="3"/>
        <v>120</v>
      </c>
      <c r="J43" s="62">
        <v>8</v>
      </c>
      <c r="K43" s="63">
        <v>-8</v>
      </c>
      <c r="L43" s="62">
        <f t="shared" si="0"/>
        <v>0.24</v>
      </c>
      <c r="M43" s="63">
        <f t="shared" si="0"/>
        <v>-0.24</v>
      </c>
      <c r="N43" s="64">
        <f t="shared" si="5"/>
        <v>120.24</v>
      </c>
      <c r="O43" s="65">
        <f t="shared" si="1"/>
        <v>120</v>
      </c>
      <c r="P43" s="63">
        <f t="shared" si="2"/>
        <v>119.76</v>
      </c>
    </row>
    <row r="44" spans="2:16" x14ac:dyDescent="0.25">
      <c r="G44" s="40"/>
      <c r="H44" s="60">
        <f>CEILING(H43,5)</f>
        <v>2425</v>
      </c>
      <c r="I44" s="61">
        <f t="shared" si="3"/>
        <v>120</v>
      </c>
      <c r="J44" s="62">
        <f t="shared" ref="J44" si="10">(($J$43-$J$52)/($H$43-$H$52))*(H44-$H$52)+$J$52</f>
        <v>6.0994897959184629</v>
      </c>
      <c r="K44" s="63">
        <f t="shared" ref="K44:K51" si="11">-J44</f>
        <v>-6.0994897959184629</v>
      </c>
      <c r="L44" s="62">
        <f t="shared" si="0"/>
        <v>0.18298469387755389</v>
      </c>
      <c r="M44" s="63">
        <f t="shared" si="0"/>
        <v>-0.18298469387755389</v>
      </c>
      <c r="N44" s="64">
        <f t="shared" si="5"/>
        <v>120.18298469387756</v>
      </c>
      <c r="O44" s="65">
        <f t="shared" si="1"/>
        <v>120</v>
      </c>
      <c r="P44" s="63">
        <f t="shared" si="2"/>
        <v>119.81701530612244</v>
      </c>
    </row>
    <row r="45" spans="2:16" x14ac:dyDescent="0.25">
      <c r="G45" s="40"/>
      <c r="I45" s="61">
        <f>(H48-H44)*$C$90+I44</f>
        <v>120</v>
      </c>
      <c r="J45" s="62">
        <f>(($J$43-$J$52)/($H$43-$H$52))*(H48-$H$52)+$J$52</f>
        <v>3.9736394557824211</v>
      </c>
      <c r="K45" s="63">
        <f t="shared" si="11"/>
        <v>-3.9736394557824211</v>
      </c>
      <c r="L45" s="62">
        <f t="shared" si="0"/>
        <v>0.11920918367347262</v>
      </c>
      <c r="M45" s="63">
        <f t="shared" si="0"/>
        <v>-0.11920918367347262</v>
      </c>
      <c r="N45" s="64">
        <f t="shared" si="5"/>
        <v>120.11920918367348</v>
      </c>
      <c r="O45" s="65">
        <f t="shared" si="1"/>
        <v>120</v>
      </c>
      <c r="P45" s="63">
        <f t="shared" si="2"/>
        <v>119.88079081632652</v>
      </c>
    </row>
    <row r="46" spans="2:16" x14ac:dyDescent="0.25">
      <c r="G46" s="40"/>
      <c r="I46" s="61">
        <f>(H49-H48)*$C$90+I45</f>
        <v>120</v>
      </c>
      <c r="J46" s="62">
        <f>(($J$43-$J$52)/($H$43-$H$52))*(H49-$H$52)+$J$52</f>
        <v>1037.1369047618989</v>
      </c>
      <c r="K46" s="63">
        <f t="shared" si="11"/>
        <v>-1037.1369047618989</v>
      </c>
      <c r="L46" s="62">
        <f t="shared" si="0"/>
        <v>31.114107142856966</v>
      </c>
      <c r="M46" s="63">
        <f t="shared" si="0"/>
        <v>-31.114107142856966</v>
      </c>
      <c r="N46" s="64">
        <f t="shared" si="5"/>
        <v>151.11410714285697</v>
      </c>
      <c r="O46" s="65">
        <f t="shared" si="1"/>
        <v>120</v>
      </c>
      <c r="P46" s="63">
        <f t="shared" si="2"/>
        <v>88.885892857143034</v>
      </c>
    </row>
    <row r="47" spans="2:16" x14ac:dyDescent="0.25">
      <c r="G47" s="40" t="s">
        <v>55</v>
      </c>
      <c r="H47" s="60">
        <f>C37</f>
        <v>2427.5860000000002</v>
      </c>
      <c r="I47" s="61">
        <f>(H50-H49)*$C$90+I46</f>
        <v>120</v>
      </c>
      <c r="J47" s="62">
        <f>(($J$43-$J$52)/($H$43-$H$52))*(H50-$H$52)+$J$52</f>
        <v>1037.1369047618989</v>
      </c>
      <c r="K47" s="63">
        <f t="shared" si="11"/>
        <v>-1037.1369047618989</v>
      </c>
      <c r="L47" s="62">
        <f t="shared" si="0"/>
        <v>31.114107142856966</v>
      </c>
      <c r="M47" s="63">
        <f t="shared" si="0"/>
        <v>-31.114107142856966</v>
      </c>
      <c r="N47" s="64">
        <f t="shared" si="5"/>
        <v>151.11410714285697</v>
      </c>
      <c r="O47" s="65">
        <f t="shared" si="1"/>
        <v>120</v>
      </c>
      <c r="P47" s="63">
        <f t="shared" si="2"/>
        <v>88.885892857143034</v>
      </c>
    </row>
    <row r="48" spans="2:16" x14ac:dyDescent="0.25">
      <c r="G48" s="40"/>
      <c r="H48" s="60">
        <f>H44+$C$10</f>
        <v>2430</v>
      </c>
      <c r="I48" s="61">
        <f>(H51-H50)*$C$90+I47</f>
        <v>120</v>
      </c>
      <c r="J48" s="62">
        <f>(($J$43-$J$52)/($H$43-$H$52))*(H51-$H$52)+$J$52</f>
        <v>1037.1369047618989</v>
      </c>
      <c r="K48" s="63">
        <f t="shared" si="11"/>
        <v>-1037.1369047618989</v>
      </c>
      <c r="L48" s="62">
        <f t="shared" si="0"/>
        <v>31.114107142856966</v>
      </c>
      <c r="M48" s="63">
        <f t="shared" si="0"/>
        <v>-31.114107142856966</v>
      </c>
      <c r="N48" s="64">
        <f t="shared" si="5"/>
        <v>151.11410714285697</v>
      </c>
      <c r="O48" s="65">
        <f t="shared" si="1"/>
        <v>120</v>
      </c>
      <c r="P48" s="63">
        <f t="shared" si="2"/>
        <v>88.885892857143034</v>
      </c>
    </row>
    <row r="49" spans="6:17" x14ac:dyDescent="0.25">
      <c r="G49" s="40"/>
      <c r="H49" s="60"/>
      <c r="I49" s="61">
        <f>(H47-H51)*$C$90+I48</f>
        <v>120</v>
      </c>
      <c r="J49" s="62">
        <f>(($J$43-$J$52)/($H$43-$H$52))*(H47-$H$52)+$J$52</f>
        <v>5</v>
      </c>
      <c r="K49" s="63">
        <f t="shared" si="11"/>
        <v>-5</v>
      </c>
      <c r="L49" s="62">
        <f t="shared" si="0"/>
        <v>0.15</v>
      </c>
      <c r="M49" s="63">
        <f t="shared" si="0"/>
        <v>-0.15</v>
      </c>
      <c r="N49" s="64">
        <f t="shared" si="5"/>
        <v>120.15</v>
      </c>
      <c r="O49" s="65">
        <f t="shared" si="1"/>
        <v>120</v>
      </c>
      <c r="P49" s="63">
        <f t="shared" si="2"/>
        <v>119.85</v>
      </c>
    </row>
    <row r="50" spans="6:17" x14ac:dyDescent="0.25">
      <c r="G50" s="40"/>
      <c r="H50" s="60"/>
      <c r="I50" s="61" t="e">
        <f>(#REF!-H47)*$C$90+I49</f>
        <v>#REF!</v>
      </c>
      <c r="J50" s="62" t="e">
        <f>(($J$43-$J$52)/($H$43-$H$52))*(#REF!-$H$52)+$J$52</f>
        <v>#REF!</v>
      </c>
      <c r="K50" s="63" t="e">
        <f t="shared" si="11"/>
        <v>#REF!</v>
      </c>
      <c r="L50" s="62" t="e">
        <f t="shared" si="0"/>
        <v>#REF!</v>
      </c>
      <c r="M50" s="63" t="e">
        <f t="shared" si="0"/>
        <v>#REF!</v>
      </c>
      <c r="N50" s="64" t="e">
        <f t="shared" si="5"/>
        <v>#REF!</v>
      </c>
      <c r="O50" s="65" t="e">
        <f t="shared" si="1"/>
        <v>#REF!</v>
      </c>
      <c r="P50" s="63" t="e">
        <f t="shared" si="2"/>
        <v>#REF!</v>
      </c>
    </row>
    <row r="51" spans="6:17" x14ac:dyDescent="0.25">
      <c r="G51" s="40"/>
      <c r="H51" s="60"/>
      <c r="I51" s="61" t="e">
        <f>(#REF!-#REF!)*$C$90+I50</f>
        <v>#REF!</v>
      </c>
      <c r="J51" s="62" t="e">
        <f>(($J$43-$J$52)/($H$43-$H$52))*(#REF!-$H$52)+$J$52</f>
        <v>#REF!</v>
      </c>
      <c r="K51" s="63" t="e">
        <f t="shared" si="11"/>
        <v>#REF!</v>
      </c>
      <c r="L51" s="62" t="e">
        <f t="shared" si="0"/>
        <v>#REF!</v>
      </c>
      <c r="M51" s="63" t="e">
        <f t="shared" si="0"/>
        <v>#REF!</v>
      </c>
      <c r="N51" s="64" t="e">
        <f t="shared" si="5"/>
        <v>#REF!</v>
      </c>
      <c r="O51" s="65" t="e">
        <f t="shared" si="1"/>
        <v>#REF!</v>
      </c>
      <c r="P51" s="63" t="e">
        <f t="shared" si="2"/>
        <v>#REF!</v>
      </c>
    </row>
    <row r="52" spans="6:17" x14ac:dyDescent="0.25">
      <c r="G52" s="40" t="str">
        <f>B38</f>
        <v>F</v>
      </c>
      <c r="H52" s="60">
        <f>C38</f>
        <v>2434.6420000000003</v>
      </c>
      <c r="I52" s="61" t="e">
        <f>(H52-#REF!)*$C$90+I51</f>
        <v>#REF!</v>
      </c>
      <c r="J52" s="62">
        <v>2</v>
      </c>
      <c r="K52" s="63">
        <v>-2</v>
      </c>
      <c r="L52" s="62">
        <f t="shared" si="0"/>
        <v>0.06</v>
      </c>
      <c r="M52" s="63">
        <f t="shared" si="0"/>
        <v>-0.06</v>
      </c>
      <c r="N52" s="64" t="e">
        <f t="shared" si="5"/>
        <v>#REF!</v>
      </c>
      <c r="O52" s="65" t="e">
        <f t="shared" si="1"/>
        <v>#REF!</v>
      </c>
      <c r="P52" s="63" t="e">
        <f t="shared" si="2"/>
        <v>#REF!</v>
      </c>
    </row>
    <row r="53" spans="6:17" x14ac:dyDescent="0.25">
      <c r="G53" s="40"/>
      <c r="H53" s="60">
        <f>CEILING(H52,5)</f>
        <v>2435</v>
      </c>
      <c r="I53" s="61" t="e">
        <f t="shared" si="3"/>
        <v>#REF!</v>
      </c>
      <c r="J53" s="62">
        <f t="shared" ref="J53:J58" si="12">(($J$59-$J$52)/($H$59-$H$52))*(H53-$H$52)+$J$52</f>
        <v>1.9049767750498432</v>
      </c>
      <c r="K53" s="63">
        <v>-2</v>
      </c>
      <c r="L53" s="62">
        <f t="shared" si="0"/>
        <v>5.7149303251495295E-2</v>
      </c>
      <c r="M53" s="63">
        <f t="shared" si="0"/>
        <v>-0.06</v>
      </c>
      <c r="N53" s="64" t="e">
        <f t="shared" si="5"/>
        <v>#REF!</v>
      </c>
      <c r="O53" s="65" t="e">
        <f t="shared" si="1"/>
        <v>#REF!</v>
      </c>
      <c r="P53" s="63" t="e">
        <f t="shared" si="2"/>
        <v>#REF!</v>
      </c>
    </row>
    <row r="54" spans="6:17" x14ac:dyDescent="0.25">
      <c r="G54" s="40" t="str">
        <f>B39</f>
        <v>G=ET</v>
      </c>
      <c r="H54" s="60">
        <f>C39</f>
        <v>2436.4060000000004</v>
      </c>
      <c r="I54" s="61" t="e">
        <f>(#REF!-H53)*$C$90+I53</f>
        <v>#REF!</v>
      </c>
      <c r="J54" s="62" t="e">
        <f>(($J$59-$J$52)/($H$59-$H$52))*(#REF!-$H$52)+$J$52</f>
        <v>#REF!</v>
      </c>
      <c r="K54" s="63">
        <v>-2</v>
      </c>
      <c r="L54" s="62" t="e">
        <f t="shared" si="0"/>
        <v>#REF!</v>
      </c>
      <c r="M54" s="63">
        <f t="shared" si="0"/>
        <v>-0.06</v>
      </c>
      <c r="N54" s="64" t="e">
        <f t="shared" si="5"/>
        <v>#REF!</v>
      </c>
      <c r="O54" s="65" t="e">
        <f t="shared" si="1"/>
        <v>#REF!</v>
      </c>
      <c r="P54" s="63" t="e">
        <f t="shared" si="2"/>
        <v>#REF!</v>
      </c>
    </row>
    <row r="55" spans="6:17" ht="13.8" thickBot="1" x14ac:dyDescent="0.3">
      <c r="G55" s="44" t="str">
        <f>B40</f>
        <v>H</v>
      </c>
      <c r="H55" s="51">
        <f>C40</f>
        <v>2437.2120000000004</v>
      </c>
      <c r="I55" s="61" t="e">
        <f>(H54-#REF!)*$C$90+I54</f>
        <v>#REF!</v>
      </c>
      <c r="J55" s="62">
        <f>(($J$59-$J$52)/($H$59-$H$52))*(H54-$H$52)+$J$52</f>
        <v>1.5317850033178222</v>
      </c>
      <c r="K55" s="63">
        <v>-2</v>
      </c>
      <c r="L55" s="62">
        <f t="shared" si="0"/>
        <v>4.5953550099534668E-2</v>
      </c>
      <c r="M55" s="63">
        <f t="shared" si="0"/>
        <v>-0.06</v>
      </c>
      <c r="N55" s="64" t="e">
        <f t="shared" si="5"/>
        <v>#REF!</v>
      </c>
      <c r="O55" s="65" t="e">
        <f t="shared" si="1"/>
        <v>#REF!</v>
      </c>
      <c r="P55" s="63" t="e">
        <f t="shared" si="2"/>
        <v>#REF!</v>
      </c>
    </row>
    <row r="56" spans="6:17" x14ac:dyDescent="0.25">
      <c r="G56" s="40"/>
      <c r="H56" s="60">
        <v>2440</v>
      </c>
      <c r="I56" s="61" t="e">
        <f>(H56-H54)*$C$90+I55</f>
        <v>#REF!</v>
      </c>
      <c r="J56" s="62">
        <f t="shared" si="12"/>
        <v>0.57783676177845744</v>
      </c>
      <c r="K56" s="63">
        <v>-2</v>
      </c>
      <c r="L56" s="62">
        <f t="shared" si="0"/>
        <v>1.7335102853353723E-2</v>
      </c>
      <c r="M56" s="63">
        <f t="shared" si="0"/>
        <v>-0.06</v>
      </c>
      <c r="N56" s="64" t="e">
        <f t="shared" si="5"/>
        <v>#REF!</v>
      </c>
      <c r="O56" s="65" t="e">
        <f t="shared" si="1"/>
        <v>#REF!</v>
      </c>
      <c r="P56" s="63" t="e">
        <f t="shared" si="2"/>
        <v>#REF!</v>
      </c>
    </row>
    <row r="57" spans="6:17" x14ac:dyDescent="0.25">
      <c r="G57" s="40" t="s">
        <v>52</v>
      </c>
      <c r="H57" s="60">
        <f>C41</f>
        <v>2443.4620000000004</v>
      </c>
      <c r="I57" s="61" t="e">
        <f t="shared" si="3"/>
        <v>#REF!</v>
      </c>
      <c r="J57" s="62">
        <f t="shared" si="12"/>
        <v>-0.34107498341076781</v>
      </c>
      <c r="K57" s="63">
        <v>-2</v>
      </c>
      <c r="L57" s="62">
        <f t="shared" si="0"/>
        <v>-1.0232249502323034E-2</v>
      </c>
      <c r="M57" s="63">
        <f t="shared" si="0"/>
        <v>-0.06</v>
      </c>
      <c r="N57" s="64" t="e">
        <f t="shared" si="5"/>
        <v>#REF!</v>
      </c>
      <c r="O57" s="65" t="e">
        <f t="shared" si="1"/>
        <v>#REF!</v>
      </c>
      <c r="P57" s="63" t="e">
        <f t="shared" si="2"/>
        <v>#REF!</v>
      </c>
    </row>
    <row r="58" spans="6:17" x14ac:dyDescent="0.25">
      <c r="G58" s="40"/>
      <c r="H58" s="60">
        <v>2445</v>
      </c>
      <c r="I58" s="61" t="e">
        <f t="shared" si="3"/>
        <v>#REF!</v>
      </c>
      <c r="J58" s="62">
        <f t="shared" si="12"/>
        <v>-0.74930325149292809</v>
      </c>
      <c r="K58" s="63">
        <v>-2</v>
      </c>
      <c r="L58" s="62">
        <f t="shared" si="0"/>
        <v>-2.2479097544787843E-2</v>
      </c>
      <c r="M58" s="63">
        <f t="shared" si="0"/>
        <v>-0.06</v>
      </c>
      <c r="N58" s="64" t="e">
        <f t="shared" si="5"/>
        <v>#REF!</v>
      </c>
      <c r="O58" s="65" t="e">
        <f t="shared" si="1"/>
        <v>#REF!</v>
      </c>
      <c r="P58" s="63" t="e">
        <f t="shared" si="2"/>
        <v>#REF!</v>
      </c>
    </row>
    <row r="59" spans="6:17" ht="13.8" thickBot="1" x14ac:dyDescent="0.3">
      <c r="G59" s="47" t="s">
        <v>53</v>
      </c>
      <c r="H59" s="67">
        <f>C42</f>
        <v>2449.7120000000004</v>
      </c>
      <c r="I59" s="68" t="e">
        <f t="shared" si="3"/>
        <v>#REF!</v>
      </c>
      <c r="J59" s="69">
        <v>-2</v>
      </c>
      <c r="K59" s="70">
        <v>-2</v>
      </c>
      <c r="L59" s="69">
        <f t="shared" si="0"/>
        <v>-0.06</v>
      </c>
      <c r="M59" s="70">
        <f t="shared" si="0"/>
        <v>-0.06</v>
      </c>
      <c r="N59" s="71" t="e">
        <f t="shared" si="5"/>
        <v>#REF!</v>
      </c>
      <c r="O59" s="72" t="e">
        <f t="shared" si="1"/>
        <v>#REF!</v>
      </c>
      <c r="P59" s="70" t="e">
        <f t="shared" si="2"/>
        <v>#REF!</v>
      </c>
    </row>
    <row r="62" spans="6:17" ht="13.8" thickBot="1" x14ac:dyDescent="0.3"/>
    <row r="63" spans="6:17" ht="13.8" thickBot="1" x14ac:dyDescent="0.3">
      <c r="G63" s="34" t="s">
        <v>23</v>
      </c>
      <c r="H63" s="37" t="s">
        <v>22</v>
      </c>
      <c r="I63" s="37" t="s">
        <v>16</v>
      </c>
      <c r="J63" s="37" t="s">
        <v>21</v>
      </c>
      <c r="K63" s="37" t="s">
        <v>20</v>
      </c>
      <c r="L63" s="37" t="s">
        <v>19</v>
      </c>
      <c r="M63" s="37" t="s">
        <v>18</v>
      </c>
      <c r="N63" s="37" t="s">
        <v>17</v>
      </c>
      <c r="O63" s="37" t="s">
        <v>16</v>
      </c>
      <c r="P63" s="35" t="s">
        <v>15</v>
      </c>
      <c r="Q63" s="76" t="s">
        <v>23</v>
      </c>
    </row>
    <row r="64" spans="6:17" x14ac:dyDescent="0.25">
      <c r="F64" s="47">
        <v>1</v>
      </c>
      <c r="G64" s="81" t="s">
        <v>7</v>
      </c>
      <c r="H64" s="82" cm="1">
        <f t="array" ref="H64:H102">_xlfn._xlws.SORT(H21:H59)</f>
        <v>2405.46</v>
      </c>
      <c r="I64" s="39">
        <f>$C$14-$C$9*($F$10-H64)</f>
        <v>149.55708000000001</v>
      </c>
      <c r="J64" s="39">
        <v>-2</v>
      </c>
      <c r="K64" s="39">
        <v>-2</v>
      </c>
      <c r="L64" s="39">
        <f>($C$7*J64)/100</f>
        <v>-0.06</v>
      </c>
      <c r="M64" s="39">
        <f t="shared" ref="L64:M102" si="13">($C$7*K64)/100</f>
        <v>-0.06</v>
      </c>
      <c r="N64" s="39">
        <f t="shared" ref="N64:N102" si="14">O64+L64</f>
        <v>149.49708000000001</v>
      </c>
      <c r="O64" s="39">
        <f t="shared" ref="O64" si="15">I64</f>
        <v>149.55708000000001</v>
      </c>
      <c r="P64" s="38">
        <f t="shared" ref="P64:P102" si="16">O64+M64</f>
        <v>149.49708000000001</v>
      </c>
      <c r="Q64" s="77" t="str">
        <f>G64</f>
        <v>A</v>
      </c>
    </row>
    <row r="65" spans="6:17" x14ac:dyDescent="0.25">
      <c r="F65" s="47">
        <v>2</v>
      </c>
      <c r="G65" s="83"/>
      <c r="H65" s="80">
        <v>2410</v>
      </c>
      <c r="I65" s="43">
        <f t="shared" ref="I65:I71" si="17">$C$14-$C$9*($F$10-H65)</f>
        <v>149.64788000000001</v>
      </c>
      <c r="J65" s="43">
        <f>(($J$68-$J$64)/($H$68-$H$64))*(H65-$H$64)+$J$64</f>
        <v>-0.54720000000001168</v>
      </c>
      <c r="K65" s="43">
        <v>-2</v>
      </c>
      <c r="L65" s="43">
        <f>($C$7*J65)/100</f>
        <v>-1.641600000000035E-2</v>
      </c>
      <c r="M65" s="43">
        <f t="shared" si="13"/>
        <v>-0.06</v>
      </c>
      <c r="N65" s="43">
        <f t="shared" si="14"/>
        <v>149.63146400000002</v>
      </c>
      <c r="O65" s="43">
        <f>I65</f>
        <v>149.64788000000001</v>
      </c>
      <c r="P65" s="42">
        <f t="shared" si="16"/>
        <v>149.58788000000001</v>
      </c>
      <c r="Q65" s="78">
        <f>G65</f>
        <v>0</v>
      </c>
    </row>
    <row r="66" spans="6:17" x14ac:dyDescent="0.25">
      <c r="F66" s="47">
        <v>3</v>
      </c>
      <c r="G66" s="83" t="s">
        <v>46</v>
      </c>
      <c r="H66" s="80">
        <v>2411.71</v>
      </c>
      <c r="I66" s="43">
        <f t="shared" si="17"/>
        <v>149.68208000000001</v>
      </c>
      <c r="J66" s="43">
        <f>(($J$68-$J$64)/($H$68-$H$64))*(H66-$H$64)+$J$64</f>
        <v>0</v>
      </c>
      <c r="K66" s="43">
        <v>-2</v>
      </c>
      <c r="L66" s="43">
        <f t="shared" si="13"/>
        <v>0</v>
      </c>
      <c r="M66" s="43">
        <f t="shared" si="13"/>
        <v>-0.06</v>
      </c>
      <c r="N66" s="43">
        <f t="shared" si="14"/>
        <v>149.68208000000001</v>
      </c>
      <c r="O66" s="43">
        <f t="shared" ref="O66:O102" si="18">I66</f>
        <v>149.68208000000001</v>
      </c>
      <c r="P66" s="42">
        <f t="shared" si="16"/>
        <v>149.62208000000001</v>
      </c>
      <c r="Q66" s="78" t="str">
        <f t="shared" ref="Q66:Q88" si="19">G66</f>
        <v>B</v>
      </c>
    </row>
    <row r="67" spans="6:17" x14ac:dyDescent="0.25">
      <c r="F67" s="47">
        <v>4</v>
      </c>
      <c r="G67" s="83"/>
      <c r="H67" s="80">
        <v>2415</v>
      </c>
      <c r="I67" s="43">
        <f t="shared" si="17"/>
        <v>149.74788000000001</v>
      </c>
      <c r="J67" s="43">
        <f>(($J$68-$J$64)/($H$68-$H$64))*(H67-$H$64)+$J$64</f>
        <v>1.0527999999999884</v>
      </c>
      <c r="K67" s="43">
        <v>-2</v>
      </c>
      <c r="L67" s="43">
        <f t="shared" si="13"/>
        <v>3.1583999999999654E-2</v>
      </c>
      <c r="M67" s="43">
        <f t="shared" si="13"/>
        <v>-0.06</v>
      </c>
      <c r="N67" s="43">
        <f t="shared" si="14"/>
        <v>149.77946400000002</v>
      </c>
      <c r="O67" s="43">
        <f t="shared" si="18"/>
        <v>149.74788000000001</v>
      </c>
      <c r="P67" s="42">
        <f t="shared" si="16"/>
        <v>149.68788000000001</v>
      </c>
      <c r="Q67" s="78">
        <f t="shared" si="19"/>
        <v>0</v>
      </c>
    </row>
    <row r="68" spans="6:17" x14ac:dyDescent="0.25">
      <c r="F68" s="47">
        <v>5</v>
      </c>
      <c r="G68" s="83" t="s">
        <v>5</v>
      </c>
      <c r="H68" s="80">
        <v>2417.96</v>
      </c>
      <c r="I68" s="43">
        <f t="shared" si="17"/>
        <v>149.80708000000001</v>
      </c>
      <c r="J68" s="43">
        <v>2</v>
      </c>
      <c r="K68" s="43">
        <v>-2</v>
      </c>
      <c r="L68" s="43">
        <f t="shared" si="13"/>
        <v>0.06</v>
      </c>
      <c r="M68" s="43">
        <f t="shared" si="13"/>
        <v>-0.06</v>
      </c>
      <c r="N68" s="43">
        <f t="shared" si="14"/>
        <v>149.86708000000002</v>
      </c>
      <c r="O68" s="43">
        <f t="shared" si="18"/>
        <v>149.80708000000001</v>
      </c>
      <c r="P68" s="42">
        <f t="shared" si="16"/>
        <v>149.74708000000001</v>
      </c>
      <c r="Q68" s="78" t="str">
        <f t="shared" si="19"/>
        <v>C</v>
      </c>
    </row>
    <row r="69" spans="6:17" x14ac:dyDescent="0.25">
      <c r="F69" s="47">
        <v>6</v>
      </c>
      <c r="G69" s="83" t="str">
        <f>B35</f>
        <v>D=TE</v>
      </c>
      <c r="H69" s="80">
        <v>2418.7660000000001</v>
      </c>
      <c r="I69" s="43">
        <f t="shared" si="17"/>
        <v>149.82320000000001</v>
      </c>
      <c r="J69" s="43">
        <f>(($J$71-$J$68)/($H$71-$H$68))*(H69-$H$68)+$J$68</f>
        <v>3.2544747081711884</v>
      </c>
      <c r="K69" s="43">
        <f>-J69</f>
        <v>-3.2544747081711884</v>
      </c>
      <c r="L69" s="43">
        <f t="shared" si="13"/>
        <v>9.7634241245135658E-2</v>
      </c>
      <c r="M69" s="43">
        <f t="shared" si="13"/>
        <v>-9.7634241245135658E-2</v>
      </c>
      <c r="N69" s="43">
        <f t="shared" si="14"/>
        <v>149.92083424124516</v>
      </c>
      <c r="O69" s="43">
        <f t="shared" si="18"/>
        <v>149.82320000000001</v>
      </c>
      <c r="P69" s="42">
        <f t="shared" si="16"/>
        <v>149.72556575875487</v>
      </c>
      <c r="Q69" s="78" t="str">
        <f t="shared" si="19"/>
        <v>D=TE</v>
      </c>
    </row>
    <row r="70" spans="6:17" x14ac:dyDescent="0.25">
      <c r="F70" s="47">
        <v>7</v>
      </c>
      <c r="G70" s="83"/>
      <c r="H70" s="80">
        <v>2420</v>
      </c>
      <c r="I70" s="43">
        <f t="shared" si="17"/>
        <v>149.84788</v>
      </c>
      <c r="J70" s="43">
        <f>(($J$71-$J$68)/($H$71-$H$68))*(H70-$H$68)+$J$68</f>
        <v>5.1750972762643324</v>
      </c>
      <c r="K70" s="43">
        <f t="shared" ref="K70:K77" si="20">-J70</f>
        <v>-5.1750972762643324</v>
      </c>
      <c r="L70" s="43">
        <f t="shared" si="13"/>
        <v>0.15525291828792998</v>
      </c>
      <c r="M70" s="43">
        <f t="shared" si="13"/>
        <v>-0.15525291828792998</v>
      </c>
      <c r="N70" s="43">
        <f t="shared" si="14"/>
        <v>150.00313291828795</v>
      </c>
      <c r="O70" s="43">
        <f t="shared" si="18"/>
        <v>149.84788</v>
      </c>
      <c r="P70" s="42">
        <f t="shared" si="16"/>
        <v>149.69262708171206</v>
      </c>
      <c r="Q70" s="78">
        <f t="shared" si="19"/>
        <v>0</v>
      </c>
    </row>
    <row r="71" spans="6:17" x14ac:dyDescent="0.25">
      <c r="F71" s="47">
        <v>8</v>
      </c>
      <c r="G71" s="83" t="s">
        <v>48</v>
      </c>
      <c r="H71" s="80">
        <v>2420.5300000000002</v>
      </c>
      <c r="I71" s="43">
        <f t="shared" si="17"/>
        <v>149.85848000000001</v>
      </c>
      <c r="J71" s="43">
        <v>6</v>
      </c>
      <c r="K71" s="43">
        <f t="shared" si="20"/>
        <v>-6</v>
      </c>
      <c r="L71" s="43">
        <f t="shared" si="13"/>
        <v>0.18</v>
      </c>
      <c r="M71" s="43">
        <f t="shared" si="13"/>
        <v>-0.18</v>
      </c>
      <c r="N71" s="43">
        <f t="shared" si="14"/>
        <v>150.03848000000002</v>
      </c>
      <c r="O71" s="43">
        <f t="shared" si="18"/>
        <v>149.85848000000001</v>
      </c>
      <c r="P71" s="42">
        <f t="shared" si="16"/>
        <v>149.67848000000001</v>
      </c>
      <c r="Q71" s="78" t="str">
        <f t="shared" si="19"/>
        <v>E</v>
      </c>
    </row>
    <row r="72" spans="6:17" x14ac:dyDescent="0.25">
      <c r="F72" s="47">
        <v>9</v>
      </c>
      <c r="G72" s="83"/>
      <c r="H72" s="80">
        <v>2425</v>
      </c>
      <c r="I72" s="43">
        <f t="shared" ref="I72:I102" si="21">$C$14+$C$9*(H72-$F$10)</f>
        <v>149.94788000000003</v>
      </c>
      <c r="J72" s="43">
        <v>6</v>
      </c>
      <c r="K72" s="43">
        <f t="shared" si="20"/>
        <v>-6</v>
      </c>
      <c r="L72" s="43">
        <f t="shared" si="13"/>
        <v>0.18</v>
      </c>
      <c r="M72" s="43">
        <f t="shared" si="13"/>
        <v>-0.18</v>
      </c>
      <c r="N72" s="43">
        <f t="shared" si="14"/>
        <v>150.12788000000003</v>
      </c>
      <c r="O72" s="43">
        <f t="shared" si="18"/>
        <v>149.94788000000003</v>
      </c>
      <c r="P72" s="42">
        <f t="shared" si="16"/>
        <v>149.76788000000002</v>
      </c>
      <c r="Q72" s="78">
        <f t="shared" si="19"/>
        <v>0</v>
      </c>
    </row>
    <row r="73" spans="6:17" x14ac:dyDescent="0.25">
      <c r="F73" s="47">
        <v>10</v>
      </c>
      <c r="G73" s="83" t="s">
        <v>55</v>
      </c>
      <c r="H73" s="80">
        <v>2427.5860000000002</v>
      </c>
      <c r="I73" s="43">
        <f t="shared" si="21"/>
        <v>149.99960000000002</v>
      </c>
      <c r="J73" s="43">
        <v>6</v>
      </c>
      <c r="K73" s="43">
        <f t="shared" si="20"/>
        <v>-6</v>
      </c>
      <c r="L73" s="43">
        <f t="shared" si="13"/>
        <v>0.18</v>
      </c>
      <c r="M73" s="43">
        <f t="shared" si="13"/>
        <v>-0.18</v>
      </c>
      <c r="N73" s="43">
        <f t="shared" si="14"/>
        <v>150.17960000000002</v>
      </c>
      <c r="O73" s="43">
        <f t="shared" si="18"/>
        <v>149.99960000000002</v>
      </c>
      <c r="P73" s="42">
        <f t="shared" si="16"/>
        <v>149.81960000000001</v>
      </c>
      <c r="Q73" s="78" t="str">
        <f t="shared" si="19"/>
        <v>EE</v>
      </c>
    </row>
    <row r="74" spans="6:17" x14ac:dyDescent="0.25">
      <c r="F74" s="47">
        <v>11</v>
      </c>
      <c r="G74" s="83"/>
      <c r="H74" s="80">
        <v>2430</v>
      </c>
      <c r="I74" s="43">
        <f t="shared" si="21"/>
        <v>150.04788000000002</v>
      </c>
      <c r="J74" s="43">
        <v>6</v>
      </c>
      <c r="K74" s="43">
        <f t="shared" si="20"/>
        <v>-6</v>
      </c>
      <c r="L74" s="43">
        <f t="shared" si="13"/>
        <v>0.18</v>
      </c>
      <c r="M74" s="43">
        <f t="shared" si="13"/>
        <v>-0.18</v>
      </c>
      <c r="N74" s="43">
        <f t="shared" si="14"/>
        <v>150.22788000000003</v>
      </c>
      <c r="O74" s="43">
        <f t="shared" si="18"/>
        <v>150.04788000000002</v>
      </c>
      <c r="P74" s="42">
        <f t="shared" si="16"/>
        <v>149.86788000000001</v>
      </c>
      <c r="Q74" s="78">
        <f t="shared" si="19"/>
        <v>0</v>
      </c>
    </row>
    <row r="75" spans="6:17" x14ac:dyDescent="0.25">
      <c r="F75" s="47">
        <v>12</v>
      </c>
      <c r="G75" s="83" t="s">
        <v>2</v>
      </c>
      <c r="H75" s="80">
        <v>2434.6420000000003</v>
      </c>
      <c r="I75" s="43">
        <f t="shared" si="21"/>
        <v>150.14072000000002</v>
      </c>
      <c r="J75" s="43">
        <v>6</v>
      </c>
      <c r="K75" s="43">
        <f t="shared" si="20"/>
        <v>-6</v>
      </c>
      <c r="L75" s="43">
        <f t="shared" si="13"/>
        <v>0.18</v>
      </c>
      <c r="M75" s="43">
        <f t="shared" si="13"/>
        <v>-0.18</v>
      </c>
      <c r="N75" s="43">
        <f t="shared" si="14"/>
        <v>150.32072000000002</v>
      </c>
      <c r="O75" s="43">
        <f t="shared" si="18"/>
        <v>150.14072000000002</v>
      </c>
      <c r="P75" s="42">
        <f t="shared" si="16"/>
        <v>149.96072000000001</v>
      </c>
      <c r="Q75" s="78" t="str">
        <f t="shared" si="19"/>
        <v>F</v>
      </c>
    </row>
    <row r="76" spans="6:17" x14ac:dyDescent="0.25">
      <c r="F76" s="47">
        <v>13</v>
      </c>
      <c r="G76" s="83"/>
      <c r="H76" s="80">
        <v>2435</v>
      </c>
      <c r="I76" s="43">
        <f t="shared" si="21"/>
        <v>150.14788000000001</v>
      </c>
      <c r="J76" s="43">
        <v>6</v>
      </c>
      <c r="K76" s="43">
        <f t="shared" si="20"/>
        <v>-6</v>
      </c>
      <c r="L76" s="43">
        <f t="shared" si="13"/>
        <v>0.18</v>
      </c>
      <c r="M76" s="43">
        <f t="shared" si="13"/>
        <v>-0.18</v>
      </c>
      <c r="N76" s="43">
        <f t="shared" si="14"/>
        <v>150.32788000000002</v>
      </c>
      <c r="O76" s="43">
        <f t="shared" si="18"/>
        <v>150.14788000000001</v>
      </c>
      <c r="P76" s="42">
        <f t="shared" si="16"/>
        <v>149.96788000000001</v>
      </c>
      <c r="Q76" s="78">
        <f t="shared" si="19"/>
        <v>0</v>
      </c>
    </row>
    <row r="77" spans="6:17" x14ac:dyDescent="0.25">
      <c r="F77" s="47">
        <v>14</v>
      </c>
      <c r="G77" s="83" t="s">
        <v>1</v>
      </c>
      <c r="H77" s="80">
        <v>2436.4060000000004</v>
      </c>
      <c r="I77" s="43">
        <f t="shared" si="21"/>
        <v>150.17600000000002</v>
      </c>
      <c r="J77" s="43">
        <v>6</v>
      </c>
      <c r="K77" s="43">
        <f t="shared" si="20"/>
        <v>-6</v>
      </c>
      <c r="L77" s="43">
        <f t="shared" si="13"/>
        <v>0.18</v>
      </c>
      <c r="M77" s="43">
        <f t="shared" si="13"/>
        <v>-0.18</v>
      </c>
      <c r="N77" s="43">
        <f t="shared" si="14"/>
        <v>150.35600000000002</v>
      </c>
      <c r="O77" s="43">
        <f t="shared" si="18"/>
        <v>150.17600000000002</v>
      </c>
      <c r="P77" s="42">
        <f t="shared" si="16"/>
        <v>149.99600000000001</v>
      </c>
      <c r="Q77" s="78" t="str">
        <f t="shared" si="19"/>
        <v>G=ET</v>
      </c>
    </row>
    <row r="78" spans="6:17" x14ac:dyDescent="0.25">
      <c r="F78" s="47">
        <v>15</v>
      </c>
      <c r="G78" s="83" t="s">
        <v>0</v>
      </c>
      <c r="H78" s="80">
        <v>2437.2120000000004</v>
      </c>
      <c r="I78" s="43">
        <f t="shared" si="21"/>
        <v>150.19212000000002</v>
      </c>
      <c r="J78" s="43">
        <v>2</v>
      </c>
      <c r="K78" s="43">
        <f>-J78</f>
        <v>-2</v>
      </c>
      <c r="L78" s="43">
        <f t="shared" ref="L78:L88" si="22">($C$7*J78)/100</f>
        <v>0.06</v>
      </c>
      <c r="M78" s="43">
        <f t="shared" si="13"/>
        <v>-0.06</v>
      </c>
      <c r="N78" s="43">
        <f t="shared" si="14"/>
        <v>150.25212000000002</v>
      </c>
      <c r="O78" s="43">
        <f t="shared" si="18"/>
        <v>150.19212000000002</v>
      </c>
      <c r="P78" s="42">
        <f t="shared" si="16"/>
        <v>150.13212000000001</v>
      </c>
      <c r="Q78" s="78" t="str">
        <f t="shared" si="19"/>
        <v>H</v>
      </c>
    </row>
    <row r="79" spans="6:17" x14ac:dyDescent="0.25">
      <c r="F79" s="47">
        <v>16</v>
      </c>
      <c r="G79" s="83"/>
      <c r="H79" s="80">
        <v>2440</v>
      </c>
      <c r="I79" s="43">
        <f t="shared" si="21"/>
        <v>150.24788000000001</v>
      </c>
      <c r="J79" s="43">
        <f>(($J$82-$J$78)/($H$82-$H$78))*(H79-$H$78)+$J$78</f>
        <v>1.107840000000142</v>
      </c>
      <c r="K79" s="43">
        <v>-2</v>
      </c>
      <c r="L79" s="43">
        <f t="shared" si="22"/>
        <v>3.323520000000426E-2</v>
      </c>
      <c r="M79" s="43">
        <f t="shared" si="13"/>
        <v>-0.06</v>
      </c>
      <c r="N79" s="43">
        <f t="shared" si="14"/>
        <v>150.28111520000002</v>
      </c>
      <c r="O79" s="43">
        <f t="shared" si="18"/>
        <v>150.24788000000001</v>
      </c>
      <c r="P79" s="42">
        <f t="shared" si="16"/>
        <v>150.18788000000001</v>
      </c>
      <c r="Q79" s="78">
        <f t="shared" si="19"/>
        <v>0</v>
      </c>
    </row>
    <row r="80" spans="6:17" x14ac:dyDescent="0.25">
      <c r="F80" s="47">
        <v>17</v>
      </c>
      <c r="G80" s="83" t="s">
        <v>52</v>
      </c>
      <c r="H80" s="80">
        <v>2443.4620000000004</v>
      </c>
      <c r="I80" s="43">
        <f t="shared" si="21"/>
        <v>150.31712000000002</v>
      </c>
      <c r="J80" s="43">
        <f>(($J$82-$J$78)/($H$82-$H$78))*(H80-$H$78)+$J$78</f>
        <v>0</v>
      </c>
      <c r="K80" s="43">
        <v>-2</v>
      </c>
      <c r="L80" s="43">
        <f t="shared" si="22"/>
        <v>0</v>
      </c>
      <c r="M80" s="43">
        <f t="shared" si="13"/>
        <v>-0.06</v>
      </c>
      <c r="N80" s="43">
        <f t="shared" si="14"/>
        <v>150.31712000000002</v>
      </c>
      <c r="O80" s="43">
        <f t="shared" si="18"/>
        <v>150.31712000000002</v>
      </c>
      <c r="P80" s="42">
        <f t="shared" si="16"/>
        <v>150.25712000000001</v>
      </c>
      <c r="Q80" s="78" t="str">
        <f t="shared" si="19"/>
        <v>I</v>
      </c>
    </row>
    <row r="81" spans="6:17" x14ac:dyDescent="0.25">
      <c r="F81" s="47">
        <v>18</v>
      </c>
      <c r="G81" s="83"/>
      <c r="H81" s="80">
        <v>2445</v>
      </c>
      <c r="I81" s="43">
        <f t="shared" si="21"/>
        <v>150.34788</v>
      </c>
      <c r="J81" s="43">
        <f>(($J$82-$J$78)/($H$82-$H$78))*(H81-$H$78)+$J$78</f>
        <v>-0.49215999999985804</v>
      </c>
      <c r="K81" s="43">
        <v>-2</v>
      </c>
      <c r="L81" s="43">
        <f t="shared" si="22"/>
        <v>-1.4764799999995741E-2</v>
      </c>
      <c r="M81" s="43">
        <f t="shared" si="13"/>
        <v>-0.06</v>
      </c>
      <c r="N81" s="43">
        <f t="shared" si="14"/>
        <v>150.33311520000001</v>
      </c>
      <c r="O81" s="43">
        <f t="shared" si="18"/>
        <v>150.34788</v>
      </c>
      <c r="P81" s="42">
        <f t="shared" si="16"/>
        <v>150.28788</v>
      </c>
      <c r="Q81" s="78">
        <f t="shared" si="19"/>
        <v>0</v>
      </c>
    </row>
    <row r="82" spans="6:17" x14ac:dyDescent="0.25">
      <c r="F82" s="47">
        <v>19</v>
      </c>
      <c r="G82" s="83" t="s">
        <v>53</v>
      </c>
      <c r="H82" s="80">
        <v>2449.7120000000004</v>
      </c>
      <c r="I82" s="43">
        <f t="shared" si="21"/>
        <v>150.44212000000002</v>
      </c>
      <c r="J82" s="43">
        <v>-2</v>
      </c>
      <c r="K82" s="43">
        <v>-2</v>
      </c>
      <c r="L82" s="43">
        <f t="shared" si="22"/>
        <v>-0.06</v>
      </c>
      <c r="M82" s="43">
        <f t="shared" si="13"/>
        <v>-0.06</v>
      </c>
      <c r="N82" s="43">
        <f t="shared" si="14"/>
        <v>150.38212000000001</v>
      </c>
      <c r="O82" s="43">
        <f t="shared" si="18"/>
        <v>150.44212000000002</v>
      </c>
      <c r="P82" s="42">
        <f t="shared" si="16"/>
        <v>150.38212000000001</v>
      </c>
      <c r="Q82" s="78" t="str">
        <f t="shared" si="19"/>
        <v>J</v>
      </c>
    </row>
    <row r="83" spans="6:17" x14ac:dyDescent="0.25">
      <c r="G83" s="83"/>
      <c r="H83" s="80">
        <v>0</v>
      </c>
      <c r="I83" s="43">
        <f t="shared" si="21"/>
        <v>101.44788000000001</v>
      </c>
      <c r="J83" s="43">
        <f>(($J$84-$J$79)/($H$84-$H$79))*(H83-$H$79)+$J$79</f>
        <v>2</v>
      </c>
      <c r="K83" s="43">
        <f>-J83</f>
        <v>-2</v>
      </c>
      <c r="L83" s="43">
        <f t="shared" si="22"/>
        <v>0.06</v>
      </c>
      <c r="M83" s="43">
        <f t="shared" si="13"/>
        <v>-0.06</v>
      </c>
      <c r="N83" s="43">
        <f t="shared" si="14"/>
        <v>101.50788000000001</v>
      </c>
      <c r="O83" s="43">
        <f t="shared" si="18"/>
        <v>101.44788000000001</v>
      </c>
      <c r="P83" s="42">
        <f t="shared" si="16"/>
        <v>101.38788000000001</v>
      </c>
      <c r="Q83" s="78">
        <f t="shared" si="19"/>
        <v>0</v>
      </c>
    </row>
    <row r="84" spans="6:17" x14ac:dyDescent="0.25">
      <c r="G84" s="83"/>
      <c r="H84" s="80">
        <v>0</v>
      </c>
      <c r="I84" s="43">
        <f t="shared" si="21"/>
        <v>101.44788000000001</v>
      </c>
      <c r="J84" s="43">
        <v>2</v>
      </c>
      <c r="K84" s="43">
        <v>-2</v>
      </c>
      <c r="L84" s="43">
        <f t="shared" si="22"/>
        <v>0.06</v>
      </c>
      <c r="M84" s="43">
        <f t="shared" si="13"/>
        <v>-0.06</v>
      </c>
      <c r="N84" s="43">
        <f t="shared" si="14"/>
        <v>101.50788000000001</v>
      </c>
      <c r="O84" s="43">
        <f t="shared" si="18"/>
        <v>101.44788000000001</v>
      </c>
      <c r="P84" s="42">
        <f t="shared" si="16"/>
        <v>101.38788000000001</v>
      </c>
      <c r="Q84" s="78">
        <f t="shared" si="19"/>
        <v>0</v>
      </c>
    </row>
    <row r="85" spans="6:17" x14ac:dyDescent="0.25">
      <c r="G85" s="83"/>
      <c r="H85" s="80">
        <v>0</v>
      </c>
      <c r="I85" s="43">
        <f t="shared" si="21"/>
        <v>101.44788000000001</v>
      </c>
      <c r="J85" s="43" t="e">
        <f>(($J$88-$J$84)/($H$88-$H$84))*(H85-$H$84)+$J$84</f>
        <v>#DIV/0!</v>
      </c>
      <c r="K85" s="43">
        <v>-2</v>
      </c>
      <c r="L85" s="43" t="e">
        <f t="shared" si="22"/>
        <v>#DIV/0!</v>
      </c>
      <c r="M85" s="43">
        <f t="shared" si="13"/>
        <v>-0.06</v>
      </c>
      <c r="N85" s="43" t="e">
        <f t="shared" si="14"/>
        <v>#DIV/0!</v>
      </c>
      <c r="O85" s="43">
        <f t="shared" si="18"/>
        <v>101.44788000000001</v>
      </c>
      <c r="P85" s="42">
        <f t="shared" si="16"/>
        <v>101.38788000000001</v>
      </c>
      <c r="Q85" s="78">
        <f t="shared" si="19"/>
        <v>0</v>
      </c>
    </row>
    <row r="86" spans="6:17" x14ac:dyDescent="0.25">
      <c r="G86" s="83"/>
      <c r="H86" s="80">
        <v>0</v>
      </c>
      <c r="I86" s="43">
        <f t="shared" si="21"/>
        <v>101.44788000000001</v>
      </c>
      <c r="J86" s="43" t="e">
        <f>(($J$88-$J$84)/($H$88-$H$84))*(H86-$H$84)+$J$84</f>
        <v>#DIV/0!</v>
      </c>
      <c r="K86" s="43">
        <v>-2</v>
      </c>
      <c r="L86" s="43" t="e">
        <f t="shared" si="22"/>
        <v>#DIV/0!</v>
      </c>
      <c r="M86" s="43">
        <f t="shared" si="13"/>
        <v>-0.06</v>
      </c>
      <c r="N86" s="43" t="e">
        <f t="shared" si="14"/>
        <v>#DIV/0!</v>
      </c>
      <c r="O86" s="43">
        <f t="shared" si="18"/>
        <v>101.44788000000001</v>
      </c>
      <c r="P86" s="42">
        <f t="shared" si="16"/>
        <v>101.38788000000001</v>
      </c>
      <c r="Q86" s="78">
        <f t="shared" si="19"/>
        <v>0</v>
      </c>
    </row>
    <row r="87" spans="6:17" x14ac:dyDescent="0.25">
      <c r="G87" s="83"/>
      <c r="H87" s="80">
        <v>0</v>
      </c>
      <c r="I87" s="43">
        <f t="shared" si="21"/>
        <v>101.44788000000001</v>
      </c>
      <c r="J87" s="43" t="e">
        <f>(($J$88-$J$84)/($H$88-$H$84))*(H87-$H$84)+$J$84</f>
        <v>#DIV/0!</v>
      </c>
      <c r="K87" s="43">
        <v>-2</v>
      </c>
      <c r="L87" s="43" t="e">
        <f t="shared" si="22"/>
        <v>#DIV/0!</v>
      </c>
      <c r="M87" s="43">
        <f t="shared" si="13"/>
        <v>-0.06</v>
      </c>
      <c r="N87" s="43" t="e">
        <f t="shared" si="14"/>
        <v>#DIV/0!</v>
      </c>
      <c r="O87" s="43">
        <f t="shared" si="18"/>
        <v>101.44788000000001</v>
      </c>
      <c r="P87" s="42">
        <f t="shared" si="16"/>
        <v>101.38788000000001</v>
      </c>
      <c r="Q87" s="78">
        <f t="shared" si="19"/>
        <v>0</v>
      </c>
    </row>
    <row r="88" spans="6:17" ht="13.8" thickBot="1" x14ac:dyDescent="0.3">
      <c r="G88" s="84"/>
      <c r="H88" s="85">
        <v>0</v>
      </c>
      <c r="I88" s="46">
        <f t="shared" si="21"/>
        <v>101.44788000000001</v>
      </c>
      <c r="J88" s="46">
        <v>-2</v>
      </c>
      <c r="K88" s="46">
        <v>-2</v>
      </c>
      <c r="L88" s="46">
        <f t="shared" si="22"/>
        <v>-0.06</v>
      </c>
      <c r="M88" s="46">
        <f t="shared" si="13"/>
        <v>-0.06</v>
      </c>
      <c r="N88" s="46">
        <f t="shared" si="14"/>
        <v>101.38788000000001</v>
      </c>
      <c r="O88" s="46">
        <f t="shared" si="18"/>
        <v>101.44788000000001</v>
      </c>
      <c r="P88" s="45">
        <f t="shared" si="16"/>
        <v>101.38788000000001</v>
      </c>
      <c r="Q88" s="78">
        <f t="shared" si="19"/>
        <v>0</v>
      </c>
    </row>
    <row r="89" spans="6:17" x14ac:dyDescent="0.25">
      <c r="G89" s="53"/>
      <c r="H89" s="51">
        <v>0</v>
      </c>
      <c r="I89" s="73">
        <f t="shared" si="21"/>
        <v>101.44788000000001</v>
      </c>
      <c r="J89" s="56" t="e">
        <f>(($J$43-$J$52)/($H$43-$H$52))*(#REF!-$H$52)+$J$52</f>
        <v>#REF!</v>
      </c>
      <c r="K89" s="57" t="e">
        <f t="shared" ref="K89:K94" si="23">-J89</f>
        <v>#REF!</v>
      </c>
      <c r="L89" s="56" t="e">
        <f t="shared" si="13"/>
        <v>#REF!</v>
      </c>
      <c r="M89" s="57" t="e">
        <f t="shared" si="13"/>
        <v>#REF!</v>
      </c>
      <c r="N89" s="58" t="e">
        <f t="shared" si="14"/>
        <v>#REF!</v>
      </c>
      <c r="O89" s="59">
        <f t="shared" si="18"/>
        <v>101.44788000000001</v>
      </c>
      <c r="P89" s="57" t="e">
        <f t="shared" si="16"/>
        <v>#REF!</v>
      </c>
    </row>
    <row r="90" spans="6:17" x14ac:dyDescent="0.25">
      <c r="G90" s="40"/>
      <c r="H90" s="74">
        <v>0</v>
      </c>
      <c r="I90" s="41">
        <f t="shared" si="21"/>
        <v>101.44788000000001</v>
      </c>
      <c r="J90" s="62" t="e">
        <f>(($J$43-$J$52)/($H$43-$H$52))*(#REF!-$H$52)+$J$52</f>
        <v>#REF!</v>
      </c>
      <c r="K90" s="63" t="e">
        <f t="shared" si="23"/>
        <v>#REF!</v>
      </c>
      <c r="L90" s="62" t="e">
        <f t="shared" si="13"/>
        <v>#REF!</v>
      </c>
      <c r="M90" s="63" t="e">
        <f t="shared" si="13"/>
        <v>#REF!</v>
      </c>
      <c r="N90" s="64" t="e">
        <f t="shared" si="14"/>
        <v>#REF!</v>
      </c>
      <c r="O90" s="65">
        <f t="shared" si="18"/>
        <v>101.44788000000001</v>
      </c>
      <c r="P90" s="63" t="e">
        <f t="shared" si="16"/>
        <v>#REF!</v>
      </c>
    </row>
    <row r="91" spans="6:17" x14ac:dyDescent="0.25">
      <c r="G91" s="40"/>
      <c r="H91" s="74">
        <v>0</v>
      </c>
      <c r="I91" s="41">
        <f t="shared" si="21"/>
        <v>101.44788000000001</v>
      </c>
      <c r="J91" s="62" t="e">
        <f>(($J$43-$J$52)/($H$43-$H$52))*(#REF!-$H$52)+$J$52</f>
        <v>#REF!</v>
      </c>
      <c r="K91" s="63" t="e">
        <f t="shared" si="23"/>
        <v>#REF!</v>
      </c>
      <c r="L91" s="62" t="e">
        <f t="shared" si="13"/>
        <v>#REF!</v>
      </c>
      <c r="M91" s="63" t="e">
        <f t="shared" si="13"/>
        <v>#REF!</v>
      </c>
      <c r="N91" s="64" t="e">
        <f t="shared" si="14"/>
        <v>#REF!</v>
      </c>
      <c r="O91" s="65">
        <f t="shared" si="18"/>
        <v>101.44788000000001</v>
      </c>
      <c r="P91" s="63" t="e">
        <f t="shared" si="16"/>
        <v>#REF!</v>
      </c>
    </row>
    <row r="92" spans="6:17" x14ac:dyDescent="0.25">
      <c r="G92" s="40"/>
      <c r="H92" s="74">
        <v>0</v>
      </c>
      <c r="I92" s="41">
        <f t="shared" si="21"/>
        <v>101.44788000000001</v>
      </c>
      <c r="J92" s="62" t="e">
        <f>(($J$43-$J$52)/($H$43-$H$52))*(#REF!-$H$52)+$J$52</f>
        <v>#REF!</v>
      </c>
      <c r="K92" s="63" t="e">
        <f t="shared" si="23"/>
        <v>#REF!</v>
      </c>
      <c r="L92" s="62" t="e">
        <f t="shared" si="13"/>
        <v>#REF!</v>
      </c>
      <c r="M92" s="63" t="e">
        <f t="shared" si="13"/>
        <v>#REF!</v>
      </c>
      <c r="N92" s="64" t="e">
        <f t="shared" si="14"/>
        <v>#REF!</v>
      </c>
      <c r="O92" s="65">
        <f t="shared" si="18"/>
        <v>101.44788000000001</v>
      </c>
      <c r="P92" s="63" t="e">
        <f t="shared" si="16"/>
        <v>#REF!</v>
      </c>
    </row>
    <row r="93" spans="6:17" x14ac:dyDescent="0.25">
      <c r="G93" s="40"/>
      <c r="H93" s="74">
        <v>0</v>
      </c>
      <c r="I93" s="41">
        <f t="shared" si="21"/>
        <v>101.44788000000001</v>
      </c>
      <c r="J93" s="62" t="e">
        <f>(($J$43-$J$52)/($H$43-$H$52))*(#REF!-$H$52)+$J$52</f>
        <v>#REF!</v>
      </c>
      <c r="K93" s="63" t="e">
        <f t="shared" si="23"/>
        <v>#REF!</v>
      </c>
      <c r="L93" s="62" t="e">
        <f t="shared" si="13"/>
        <v>#REF!</v>
      </c>
      <c r="M93" s="63" t="e">
        <f t="shared" si="13"/>
        <v>#REF!</v>
      </c>
      <c r="N93" s="64" t="e">
        <f t="shared" si="14"/>
        <v>#REF!</v>
      </c>
      <c r="O93" s="65">
        <f t="shared" si="18"/>
        <v>101.44788000000001</v>
      </c>
      <c r="P93" s="63" t="e">
        <f t="shared" si="16"/>
        <v>#REF!</v>
      </c>
    </row>
    <row r="94" spans="6:17" x14ac:dyDescent="0.25">
      <c r="G94" s="40"/>
      <c r="H94" s="74">
        <v>0</v>
      </c>
      <c r="I94" s="41">
        <f t="shared" si="21"/>
        <v>101.44788000000001</v>
      </c>
      <c r="J94" s="62" t="e">
        <f>(($J$43-$J$52)/($H$43-$H$52))*(#REF!-$H$52)+$J$52</f>
        <v>#REF!</v>
      </c>
      <c r="K94" s="63" t="e">
        <f t="shared" si="23"/>
        <v>#REF!</v>
      </c>
      <c r="L94" s="62" t="e">
        <f t="shared" si="13"/>
        <v>#REF!</v>
      </c>
      <c r="M94" s="63" t="e">
        <f t="shared" si="13"/>
        <v>#REF!</v>
      </c>
      <c r="N94" s="64" t="e">
        <f t="shared" si="14"/>
        <v>#REF!</v>
      </c>
      <c r="O94" s="65">
        <f t="shared" si="18"/>
        <v>101.44788000000001</v>
      </c>
      <c r="P94" s="63" t="e">
        <f t="shared" si="16"/>
        <v>#REF!</v>
      </c>
    </row>
    <row r="95" spans="6:17" x14ac:dyDescent="0.25">
      <c r="G95" s="40"/>
      <c r="H95" s="74">
        <v>0</v>
      </c>
      <c r="I95" s="41">
        <f t="shared" si="21"/>
        <v>101.44788000000001</v>
      </c>
      <c r="J95" s="62">
        <v>2</v>
      </c>
      <c r="K95" s="63">
        <v>-2</v>
      </c>
      <c r="L95" s="62">
        <f t="shared" si="13"/>
        <v>0.06</v>
      </c>
      <c r="M95" s="63">
        <f t="shared" si="13"/>
        <v>-0.06</v>
      </c>
      <c r="N95" s="64">
        <f t="shared" si="14"/>
        <v>101.50788000000001</v>
      </c>
      <c r="O95" s="65">
        <f t="shared" si="18"/>
        <v>101.44788000000001</v>
      </c>
      <c r="P95" s="63">
        <f t="shared" si="16"/>
        <v>101.38788000000001</v>
      </c>
    </row>
    <row r="96" spans="6:17" x14ac:dyDescent="0.25">
      <c r="G96" s="40"/>
      <c r="H96" s="74">
        <v>0</v>
      </c>
      <c r="I96" s="41">
        <f t="shared" si="21"/>
        <v>101.44788000000001</v>
      </c>
      <c r="J96" s="62" t="e">
        <f>(($J$59-$J$52)/($H$59-$H$52))*(#REF!-$H$52)+$J$52</f>
        <v>#REF!</v>
      </c>
      <c r="K96" s="63">
        <v>-2</v>
      </c>
      <c r="L96" s="62" t="e">
        <f t="shared" si="13"/>
        <v>#REF!</v>
      </c>
      <c r="M96" s="63">
        <f t="shared" si="13"/>
        <v>-0.06</v>
      </c>
      <c r="N96" s="64" t="e">
        <f t="shared" si="14"/>
        <v>#REF!</v>
      </c>
      <c r="O96" s="65">
        <f t="shared" si="18"/>
        <v>101.44788000000001</v>
      </c>
      <c r="P96" s="63">
        <f t="shared" si="16"/>
        <v>101.38788000000001</v>
      </c>
    </row>
    <row r="97" spans="7:16" x14ac:dyDescent="0.25">
      <c r="G97" s="40"/>
      <c r="H97" s="74">
        <v>0</v>
      </c>
      <c r="I97" s="41">
        <f t="shared" si="21"/>
        <v>101.44788000000001</v>
      </c>
      <c r="J97" s="62" t="e">
        <f>(($J$59-$J$52)/($H$59-$H$52))*(#REF!-$H$52)+$J$52</f>
        <v>#REF!</v>
      </c>
      <c r="K97" s="63">
        <v>-2</v>
      </c>
      <c r="L97" s="62" t="e">
        <f t="shared" si="13"/>
        <v>#REF!</v>
      </c>
      <c r="M97" s="63">
        <f t="shared" si="13"/>
        <v>-0.06</v>
      </c>
      <c r="N97" s="64" t="e">
        <f t="shared" si="14"/>
        <v>#REF!</v>
      </c>
      <c r="O97" s="65">
        <f t="shared" si="18"/>
        <v>101.44788000000001</v>
      </c>
      <c r="P97" s="63">
        <f t="shared" si="16"/>
        <v>101.38788000000001</v>
      </c>
    </row>
    <row r="98" spans="7:16" x14ac:dyDescent="0.25">
      <c r="G98" s="40"/>
      <c r="H98" s="74">
        <v>0</v>
      </c>
      <c r="I98" s="41">
        <f t="shared" si="21"/>
        <v>101.44788000000001</v>
      </c>
      <c r="J98" s="62" t="e">
        <f>(($J$59-$J$52)/($H$59-$H$52))*(#REF!-$H$52)+$J$52</f>
        <v>#REF!</v>
      </c>
      <c r="K98" s="63">
        <v>-2</v>
      </c>
      <c r="L98" s="62" t="e">
        <f t="shared" si="13"/>
        <v>#REF!</v>
      </c>
      <c r="M98" s="63">
        <f t="shared" si="13"/>
        <v>-0.06</v>
      </c>
      <c r="N98" s="64" t="e">
        <f t="shared" si="14"/>
        <v>#REF!</v>
      </c>
      <c r="O98" s="65">
        <f t="shared" si="18"/>
        <v>101.44788000000001</v>
      </c>
      <c r="P98" s="63">
        <f t="shared" si="16"/>
        <v>101.38788000000001</v>
      </c>
    </row>
    <row r="99" spans="7:16" x14ac:dyDescent="0.25">
      <c r="G99" s="40"/>
      <c r="H99" s="74">
        <v>0</v>
      </c>
      <c r="I99" s="41">
        <f t="shared" si="21"/>
        <v>101.44788000000001</v>
      </c>
      <c r="J99" s="62" t="e">
        <f>(($J$59-$J$52)/($H$59-$H$52))*(#REF!-$H$52)+$J$52</f>
        <v>#REF!</v>
      </c>
      <c r="K99" s="63">
        <v>-2</v>
      </c>
      <c r="L99" s="62" t="e">
        <f t="shared" si="13"/>
        <v>#REF!</v>
      </c>
      <c r="M99" s="63">
        <f t="shared" si="13"/>
        <v>-0.06</v>
      </c>
      <c r="N99" s="64" t="e">
        <f t="shared" si="14"/>
        <v>#REF!</v>
      </c>
      <c r="O99" s="65">
        <f t="shared" si="18"/>
        <v>101.44788000000001</v>
      </c>
      <c r="P99" s="63">
        <f t="shared" si="16"/>
        <v>101.38788000000001</v>
      </c>
    </row>
    <row r="100" spans="7:16" x14ac:dyDescent="0.25">
      <c r="G100" s="40"/>
      <c r="H100" s="74">
        <v>0</v>
      </c>
      <c r="I100" s="41">
        <f t="shared" si="21"/>
        <v>101.44788000000001</v>
      </c>
      <c r="J100" s="62" t="e">
        <f>(($J$59-$J$52)/($H$59-$H$52))*(#REF!-$H$52)+$J$52</f>
        <v>#REF!</v>
      </c>
      <c r="K100" s="63">
        <v>-2</v>
      </c>
      <c r="L100" s="62" t="e">
        <f t="shared" si="13"/>
        <v>#REF!</v>
      </c>
      <c r="M100" s="63">
        <f t="shared" si="13"/>
        <v>-0.06</v>
      </c>
      <c r="N100" s="64" t="e">
        <f t="shared" si="14"/>
        <v>#REF!</v>
      </c>
      <c r="O100" s="65">
        <f t="shared" si="18"/>
        <v>101.44788000000001</v>
      </c>
      <c r="P100" s="63">
        <f t="shared" si="16"/>
        <v>101.38788000000001</v>
      </c>
    </row>
    <row r="101" spans="7:16" x14ac:dyDescent="0.25">
      <c r="G101" s="40" t="s">
        <v>0</v>
      </c>
      <c r="H101" s="74">
        <v>0</v>
      </c>
      <c r="I101" s="41">
        <f t="shared" si="21"/>
        <v>101.44788000000001</v>
      </c>
      <c r="J101" s="62" t="e">
        <f>(($J$59-$J$52)/($H$59-$H$52))*(#REF!-$H$52)+$J$52</f>
        <v>#REF!</v>
      </c>
      <c r="K101" s="63">
        <v>-2</v>
      </c>
      <c r="L101" s="62" t="e">
        <f t="shared" si="13"/>
        <v>#REF!</v>
      </c>
      <c r="M101" s="63">
        <f t="shared" si="13"/>
        <v>-0.06</v>
      </c>
      <c r="N101" s="64" t="e">
        <f t="shared" si="14"/>
        <v>#REF!</v>
      </c>
      <c r="O101" s="65">
        <f t="shared" si="18"/>
        <v>101.44788000000001</v>
      </c>
      <c r="P101" s="63">
        <f t="shared" si="16"/>
        <v>101.38788000000001</v>
      </c>
    </row>
    <row r="102" spans="7:16" ht="13.8" thickBot="1" x14ac:dyDescent="0.3">
      <c r="G102" s="44"/>
      <c r="H102" s="75">
        <v>0</v>
      </c>
      <c r="I102" s="41">
        <f t="shared" si="21"/>
        <v>101.44788000000001</v>
      </c>
      <c r="J102" s="69">
        <v>-2</v>
      </c>
      <c r="K102" s="70">
        <v>-2</v>
      </c>
      <c r="L102" s="69">
        <f t="shared" si="13"/>
        <v>-0.06</v>
      </c>
      <c r="M102" s="70">
        <f t="shared" si="13"/>
        <v>-0.06</v>
      </c>
      <c r="N102" s="71">
        <f t="shared" si="14"/>
        <v>101.38788000000001</v>
      </c>
      <c r="O102" s="72">
        <f t="shared" si="18"/>
        <v>101.44788000000001</v>
      </c>
      <c r="P102" s="70">
        <f t="shared" si="16"/>
        <v>101.38788000000001</v>
      </c>
    </row>
  </sheetData>
  <pageMargins left="0.7" right="0.7" top="0.75" bottom="0.75" header="0.3" footer="0.3"/>
  <pageSetup paperSize="8" scale="97" orientation="landscape" horizontalDpi="1200" verticalDpi="1200" r:id="rId1"/>
  <rowBreaks count="1" manualBreakCount="1">
    <brk id="5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PERALTE-P4</vt:lpstr>
      <vt:lpstr>PERALTE CIRCULAR</vt:lpstr>
      <vt:lpstr>PERALTE ESPIRAL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Villalobos</dc:creator>
  <cp:lastModifiedBy>Jose Alfredo Vergara Barriosnuevo</cp:lastModifiedBy>
  <dcterms:created xsi:type="dcterms:W3CDTF">2025-05-27T17:42:15Z</dcterms:created>
  <dcterms:modified xsi:type="dcterms:W3CDTF">2025-06-01T16:40:02Z</dcterms:modified>
</cp:coreProperties>
</file>