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nie\OneDrive\Desktop\7mo sem\Vias I\"/>
    </mc:Choice>
  </mc:AlternateContent>
  <xr:revisionPtr revIDLastSave="0" documentId="13_ncr:1_{49B8622B-78F5-4326-9B8E-3072F9383B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4" l="1"/>
  <c r="F27" i="4"/>
  <c r="F29" i="4" s="1"/>
  <c r="M13" i="4" s="1"/>
  <c r="D28" i="4"/>
  <c r="D27" i="4"/>
  <c r="D14" i="4"/>
  <c r="F16" i="4" s="1"/>
  <c r="C21" i="4" s="1"/>
  <c r="C6" i="4"/>
  <c r="C7" i="4" s="1"/>
  <c r="D10" i="4" s="1"/>
  <c r="C20" i="4" s="1"/>
  <c r="E27" i="4" l="1"/>
  <c r="I22" i="4" s="1"/>
  <c r="E28" i="4"/>
  <c r="K22" i="4" s="1"/>
  <c r="E29" i="4"/>
  <c r="J25" i="4" s="1"/>
  <c r="I34" i="4" s="1"/>
  <c r="E23" i="4"/>
  <c r="E24" i="4" s="1"/>
  <c r="C23" i="4"/>
</calcChain>
</file>

<file path=xl/sharedStrings.xml><?xml version="1.0" encoding="utf-8"?>
<sst xmlns="http://schemas.openxmlformats.org/spreadsheetml/2006/main" count="32" uniqueCount="22">
  <si>
    <t>m</t>
  </si>
  <si>
    <t>desnivel</t>
  </si>
  <si>
    <t>cm plano</t>
  </si>
  <si>
    <t>m reales</t>
  </si>
  <si>
    <t>x</t>
  </si>
  <si>
    <t>a=</t>
  </si>
  <si>
    <t>Equidistancia</t>
  </si>
  <si>
    <t>m plano</t>
  </si>
  <si>
    <t>m plano=</t>
  </si>
  <si>
    <t>pendiente</t>
  </si>
  <si>
    <t>m reales=</t>
  </si>
  <si>
    <t xml:space="preserve">m </t>
  </si>
  <si>
    <t>alineamiento</t>
  </si>
  <si>
    <t>A-C</t>
  </si>
  <si>
    <t>C-B</t>
  </si>
  <si>
    <t>cm plano=</t>
  </si>
  <si>
    <t>llevando a escala</t>
  </si>
  <si>
    <t>Pend asum.</t>
  </si>
  <si>
    <t>aperuta compas(cm)</t>
  </si>
  <si>
    <t>distancia H medida (cm)</t>
  </si>
  <si>
    <t>dist.  H Real</t>
  </si>
  <si>
    <t>pend. Max posible=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</si>
</sst>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9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377190</xdr:colOff>
      <xdr:row>0</xdr:row>
      <xdr:rowOff>167640</xdr:rowOff>
    </xdr:from>
    <xdr:to>
      <xdr:col>7</xdr:col>
      <xdr:colOff>466725</xdr:colOff>
      <xdr:row>3</xdr:row>
      <xdr:rowOff>180852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7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4511040" y="167640"/>
              <a:ext cx="2375535" cy="58471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BO" sz="20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200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BO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𝐸𝑞𝑢𝑖𝑑𝑖𝑠𝑡𝑎𝑛𝑐𝑖𝑎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2000">
                            <a:solidFill>
                              <a:schemeClr val="tx1"/>
                            </a:solidFill>
                          </a:rPr>
                          <m:t>Pendiente</m:t>
                        </m:r>
                      </m:den>
                    </m:f>
                  </m:oMath>
                </m:oMathPara>
              </a14:m>
              <a:endParaRPr lang="en-US" sz="4000"/>
            </a:p>
          </xdr:txBody>
        </xdr:sp>
      </mc:Choice>
      <mc:Fallback xmlns="">
        <xdr:sp macro="" textlink="">
          <xdr:nvSpPr>
            <xdr:cNvPr id="2" name="CuadroTexto 27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4511040" y="167640"/>
              <a:ext cx="2375535" cy="58471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BO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𝑎</a:t>
              </a:r>
              <a:r>
                <a:rPr lang="en-US" sz="200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es-BO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𝐸𝑞𝑢𝑖𝑑𝑖𝑠𝑡𝑎𝑛𝑐𝑖𝑎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/"</a:t>
              </a:r>
              <a:r>
                <a:rPr lang="en-US" sz="2000" i="0">
                  <a:solidFill>
                    <a:schemeClr val="tx1"/>
                  </a:solidFill>
                </a:rPr>
                <a:t>Pendiente</a:t>
              </a:r>
              <a:r>
                <a:rPr lang="en-US" sz="2000" i="0">
                  <a:solidFill>
                    <a:schemeClr val="tx1"/>
                  </a:solidFill>
                  <a:latin typeface="Cambria Math" panose="02040503050406030204" pitchFamily="18" charset="0"/>
                </a:rPr>
                <a:t>" </a:t>
              </a:r>
              <a:endParaRPr lang="en-US" sz="4000"/>
            </a:p>
          </xdr:txBody>
        </xdr:sp>
      </mc:Fallback>
    </mc:AlternateContent>
    <xdr:clientData/>
  </xdr:twoCellAnchor>
  <xdr:twoCellAnchor>
    <xdr:from>
      <xdr:col>0</xdr:col>
      <xdr:colOff>441960</xdr:colOff>
      <xdr:row>8</xdr:row>
      <xdr:rowOff>22860</xdr:rowOff>
    </xdr:from>
    <xdr:to>
      <xdr:col>2</xdr:col>
      <xdr:colOff>784860</xdr:colOff>
      <xdr:row>11</xdr:row>
      <xdr:rowOff>22860</xdr:rowOff>
    </xdr:to>
    <xdr:sp macro="" textlink="">
      <xdr:nvSpPr>
        <xdr:cNvPr id="3" name="Flecha der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1960" y="1485900"/>
          <a:ext cx="1927860" cy="548640"/>
        </a:xfrm>
        <a:prstGeom prst="rightArrow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por lo tanto</a:t>
          </a:r>
          <a:r>
            <a:rPr lang="en-US" sz="1100" baseline="0"/>
            <a:t>                 Esc= 1:</a:t>
          </a:r>
          <a:endParaRPr lang="en-US" sz="1100"/>
        </a:p>
      </xdr:txBody>
    </xdr:sp>
    <xdr:clientData/>
  </xdr:twoCellAnchor>
  <xdr:twoCellAnchor>
    <xdr:from>
      <xdr:col>7</xdr:col>
      <xdr:colOff>278130</xdr:colOff>
      <xdr:row>13</xdr:row>
      <xdr:rowOff>171450</xdr:rowOff>
    </xdr:from>
    <xdr:to>
      <xdr:col>9</xdr:col>
      <xdr:colOff>361950</xdr:colOff>
      <xdr:row>19</xdr:row>
      <xdr:rowOff>140970</xdr:rowOff>
    </xdr:to>
    <xdr:sp macro="" textlink="">
      <xdr:nvSpPr>
        <xdr:cNvPr id="4" name="Triángulo 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6200000">
          <a:off x="7048500" y="2247900"/>
          <a:ext cx="1066800" cy="1668780"/>
        </a:xfrm>
        <a:prstGeom prst="rtTriangl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361950</xdr:colOff>
      <xdr:row>5</xdr:row>
      <xdr:rowOff>99060</xdr:rowOff>
    </xdr:from>
    <xdr:to>
      <xdr:col>11</xdr:col>
      <xdr:colOff>396240</xdr:colOff>
      <xdr:row>13</xdr:row>
      <xdr:rowOff>160020</xdr:rowOff>
    </xdr:to>
    <xdr:sp macro="" textlink="">
      <xdr:nvSpPr>
        <xdr:cNvPr id="5" name="Triángulo 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6200000">
          <a:off x="8463915" y="965835"/>
          <a:ext cx="1524000" cy="1619250"/>
        </a:xfrm>
        <a:prstGeom prst="rtTriangle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</xdr:colOff>
      <xdr:row>14</xdr:row>
      <xdr:rowOff>19050</xdr:rowOff>
    </xdr:from>
    <xdr:to>
      <xdr:col>12</xdr:col>
      <xdr:colOff>9525</xdr:colOff>
      <xdr:row>19</xdr:row>
      <xdr:rowOff>171450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0601325" y="2686050"/>
          <a:ext cx="0" cy="1104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</xdr:colOff>
      <xdr:row>5</xdr:row>
      <xdr:rowOff>99060</xdr:rowOff>
    </xdr:from>
    <xdr:to>
      <xdr:col>12</xdr:col>
      <xdr:colOff>9525</xdr:colOff>
      <xdr:row>13</xdr:row>
      <xdr:rowOff>95250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595610" y="1051560"/>
          <a:ext cx="5715" cy="152019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20</xdr:row>
      <xdr:rowOff>121920</xdr:rowOff>
    </xdr:from>
    <xdr:to>
      <xdr:col>9</xdr:col>
      <xdr:colOff>358140</xdr:colOff>
      <xdr:row>20</xdr:row>
      <xdr:rowOff>129540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 flipV="1">
          <a:off x="6728460" y="3779520"/>
          <a:ext cx="168402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350520</xdr:colOff>
      <xdr:row>20</xdr:row>
      <xdr:rowOff>99060</xdr:rowOff>
    </xdr:from>
    <xdr:to>
      <xdr:col>11</xdr:col>
      <xdr:colOff>449580</xdr:colOff>
      <xdr:row>20</xdr:row>
      <xdr:rowOff>106680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8404860" y="3756660"/>
          <a:ext cx="1684020" cy="76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251460</xdr:colOff>
      <xdr:row>23</xdr:row>
      <xdr:rowOff>76200</xdr:rowOff>
    </xdr:from>
    <xdr:to>
      <xdr:col>11</xdr:col>
      <xdr:colOff>480060</xdr:colOff>
      <xdr:row>23</xdr:row>
      <xdr:rowOff>99060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720840" y="4282440"/>
          <a:ext cx="3398520" cy="2286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5</xdr:row>
      <xdr:rowOff>95250</xdr:rowOff>
    </xdr:from>
    <xdr:to>
      <xdr:col>12</xdr:col>
      <xdr:colOff>257175</xdr:colOff>
      <xdr:row>19</xdr:row>
      <xdr:rowOff>95250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10839450" y="1047750"/>
          <a:ext cx="9525" cy="2667000"/>
        </a:xfrm>
        <a:prstGeom prst="straightConnector1">
          <a:avLst/>
        </a:prstGeom>
        <a:ln w="9525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278130</xdr:colOff>
      <xdr:row>5</xdr:row>
      <xdr:rowOff>99060</xdr:rowOff>
    </xdr:from>
    <xdr:to>
      <xdr:col>11</xdr:col>
      <xdr:colOff>396240</xdr:colOff>
      <xdr:row>19</xdr:row>
      <xdr:rowOff>140970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>
          <a:stCxn id="4" idx="0"/>
          <a:endCxn id="5" idx="4"/>
        </xdr:cNvCxnSpPr>
      </xdr:nvCxnSpPr>
      <xdr:spPr>
        <a:xfrm flipV="1">
          <a:off x="6747510" y="1013460"/>
          <a:ext cx="3288030" cy="260223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0</xdr:rowOff>
    </xdr:from>
    <xdr:to>
      <xdr:col>11</xdr:col>
      <xdr:colOff>45720</xdr:colOff>
      <xdr:row>31</xdr:row>
      <xdr:rowOff>9333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7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6469380" y="5120640"/>
              <a:ext cx="3215640" cy="55797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800" kern="12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Pendiente</m:t>
                    </m:r>
                    <m:r>
                      <a:rPr lang="en-US" sz="2000" i="1">
                        <a:solidFill>
                          <a:schemeClr val="tx1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BO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𝐸𝑞𝑢𝑖𝑑𝑖𝑠𝑡𝑎𝑛𝑐𝑖𝑎</m:t>
                        </m:r>
                      </m:num>
                      <m:den>
                        <m:r>
                          <a:rPr lang="es-BO" sz="20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4000"/>
            </a:p>
          </xdr:txBody>
        </xdr:sp>
      </mc:Choice>
      <mc:Fallback xmlns="">
        <xdr:sp macro="" textlink="">
          <xdr:nvSpPr>
            <xdr:cNvPr id="21" name="CuadroTexto 27"/>
            <xdr:cNvSpPr txBox="1"/>
          </xdr:nvSpPr>
          <xdr:spPr>
            <a:xfrm>
              <a:off x="6469380" y="5120640"/>
              <a:ext cx="3215640" cy="55797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"Pendiente</a:t>
              </a:r>
              <a:r>
                <a:rPr lang="en-US" sz="20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2000" i="0">
                  <a:solidFill>
                    <a:schemeClr val="tx1"/>
                  </a:solidFill>
                  <a:latin typeface="Cambria Math" panose="02040503050406030204" pitchFamily="18" charset="0"/>
                </a:rPr>
                <a:t>=</a:t>
              </a:r>
              <a:r>
                <a:rPr lang="es-BO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𝐸𝑞𝑢𝑖𝑑𝑖𝑠𝑡𝑎𝑛𝑐𝑖𝑎</a:t>
              </a:r>
              <a:r>
                <a:rPr lang="en-US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/</a:t>
              </a:r>
              <a:r>
                <a:rPr lang="es-BO" sz="20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𝑎</a:t>
              </a:r>
              <a:endParaRPr lang="en-US" sz="40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34"/>
  <sheetViews>
    <sheetView tabSelected="1" topLeftCell="A12" workbookViewId="0">
      <selection activeCell="J25" sqref="J25"/>
    </sheetView>
  </sheetViews>
  <sheetFormatPr baseColWidth="10" defaultRowHeight="15" x14ac:dyDescent="0.25"/>
  <cols>
    <col min="2" max="2" width="12.7109375" bestFit="1" customWidth="1"/>
    <col min="3" max="3" width="19.140625" bestFit="1" customWidth="1"/>
    <col min="4" max="4" width="22.42578125" bestFit="1" customWidth="1"/>
    <col min="8" max="8" width="16.85546875" bestFit="1" customWidth="1"/>
  </cols>
  <sheetData>
    <row r="3" spans="1:13" x14ac:dyDescent="0.25">
      <c r="A3" s="7">
        <v>1.6</v>
      </c>
      <c r="B3" t="s">
        <v>2</v>
      </c>
      <c r="C3">
        <v>200</v>
      </c>
      <c r="D3" t="s">
        <v>3</v>
      </c>
    </row>
    <row r="4" spans="1:13" x14ac:dyDescent="0.25">
      <c r="A4">
        <v>1</v>
      </c>
      <c r="B4" t="s">
        <v>2</v>
      </c>
      <c r="C4" s="3" t="s">
        <v>4</v>
      </c>
      <c r="D4" t="s">
        <v>3</v>
      </c>
    </row>
    <row r="6" spans="1:13" x14ac:dyDescent="0.25">
      <c r="A6">
        <v>1</v>
      </c>
      <c r="B6" t="s">
        <v>15</v>
      </c>
      <c r="C6" s="1">
        <f>(A4*C3)/A3</f>
        <v>125</v>
      </c>
      <c r="D6" t="s">
        <v>3</v>
      </c>
    </row>
    <row r="7" spans="1:13" x14ac:dyDescent="0.25">
      <c r="A7">
        <v>1</v>
      </c>
      <c r="B7" t="s">
        <v>8</v>
      </c>
      <c r="C7" s="1">
        <f>C6*100</f>
        <v>12500</v>
      </c>
      <c r="D7" t="s">
        <v>3</v>
      </c>
    </row>
    <row r="10" spans="1:13" x14ac:dyDescent="0.25">
      <c r="D10" s="1">
        <f>C7</f>
        <v>12500</v>
      </c>
      <c r="L10">
        <v>85</v>
      </c>
    </row>
    <row r="13" spans="1:13" x14ac:dyDescent="0.25">
      <c r="B13" t="s">
        <v>6</v>
      </c>
      <c r="C13" s="7">
        <v>10</v>
      </c>
      <c r="D13" t="s">
        <v>0</v>
      </c>
      <c r="M13">
        <f>F29</f>
        <v>140</v>
      </c>
    </row>
    <row r="14" spans="1:13" x14ac:dyDescent="0.25">
      <c r="B14" t="s">
        <v>9</v>
      </c>
      <c r="C14" s="7">
        <v>6</v>
      </c>
      <c r="D14">
        <f>C14/100</f>
        <v>0.06</v>
      </c>
    </row>
    <row r="16" spans="1:13" x14ac:dyDescent="0.25">
      <c r="E16" s="4" t="s">
        <v>5</v>
      </c>
      <c r="F16" s="1">
        <f>C13/D14</f>
        <v>166.66666666666669</v>
      </c>
      <c r="G16" t="s">
        <v>11</v>
      </c>
    </row>
    <row r="18" spans="1:12" x14ac:dyDescent="0.25">
      <c r="A18" t="s">
        <v>16</v>
      </c>
      <c r="L18">
        <v>55</v>
      </c>
    </row>
    <row r="20" spans="1:12" x14ac:dyDescent="0.25">
      <c r="A20">
        <v>1</v>
      </c>
      <c r="B20" t="s">
        <v>7</v>
      </c>
      <c r="C20" s="1">
        <f>D10</f>
        <v>12500</v>
      </c>
      <c r="D20" t="s">
        <v>3</v>
      </c>
    </row>
    <row r="21" spans="1:12" x14ac:dyDescent="0.25">
      <c r="A21" s="3" t="s">
        <v>4</v>
      </c>
      <c r="B21" t="s">
        <v>7</v>
      </c>
      <c r="C21" s="1">
        <f>F16</f>
        <v>166.66666666666669</v>
      </c>
      <c r="D21" t="s">
        <v>3</v>
      </c>
    </row>
    <row r="22" spans="1:12" x14ac:dyDescent="0.25">
      <c r="I22" s="1">
        <f>E27</f>
        <v>855</v>
      </c>
      <c r="K22" s="1">
        <f>E28</f>
        <v>853.75</v>
      </c>
    </row>
    <row r="23" spans="1:12" x14ac:dyDescent="0.25">
      <c r="C23" s="1">
        <f>F16</f>
        <v>166.66666666666669</v>
      </c>
      <c r="D23" t="s">
        <v>10</v>
      </c>
      <c r="E23">
        <f>(C21*A20)/C20</f>
        <v>1.3333333333333334E-2</v>
      </c>
      <c r="F23" t="s">
        <v>7</v>
      </c>
    </row>
    <row r="24" spans="1:12" x14ac:dyDescent="0.25">
      <c r="E24">
        <f>E23*100</f>
        <v>1.3333333333333335</v>
      </c>
      <c r="F24" t="s">
        <v>2</v>
      </c>
    </row>
    <row r="25" spans="1:12" x14ac:dyDescent="0.25">
      <c r="J25" s="1">
        <f>E29</f>
        <v>1708.75</v>
      </c>
    </row>
    <row r="26" spans="1:12" x14ac:dyDescent="0.25">
      <c r="A26" t="s">
        <v>12</v>
      </c>
      <c r="B26" t="s">
        <v>17</v>
      </c>
      <c r="C26" t="s">
        <v>18</v>
      </c>
      <c r="D26" t="s">
        <v>19</v>
      </c>
      <c r="E26" t="s">
        <v>20</v>
      </c>
      <c r="F26" t="s">
        <v>1</v>
      </c>
    </row>
    <row r="27" spans="1:12" x14ac:dyDescent="0.25">
      <c r="A27" s="6" t="s">
        <v>13</v>
      </c>
      <c r="B27" s="5">
        <v>0.06</v>
      </c>
      <c r="C27" s="6">
        <v>1.3</v>
      </c>
      <c r="D27">
        <f>5*C27+0.34</f>
        <v>6.84</v>
      </c>
      <c r="E27" s="1">
        <f>D27*C6</f>
        <v>855</v>
      </c>
      <c r="F27">
        <f>155-100</f>
        <v>55</v>
      </c>
    </row>
    <row r="28" spans="1:12" x14ac:dyDescent="0.25">
      <c r="A28" t="s">
        <v>14</v>
      </c>
      <c r="B28" s="2">
        <v>0.13</v>
      </c>
      <c r="C28">
        <v>0.6</v>
      </c>
      <c r="D28">
        <f>11*C28+0.23</f>
        <v>6.83</v>
      </c>
      <c r="E28" s="1">
        <f>D28*C6</f>
        <v>853.75</v>
      </c>
      <c r="F28">
        <f>240-155</f>
        <v>85</v>
      </c>
    </row>
    <row r="29" spans="1:12" x14ac:dyDescent="0.25">
      <c r="E29" s="1">
        <f>SUM(E27:E28)</f>
        <v>1708.75</v>
      </c>
      <c r="F29">
        <f>SUM(F27:F28)</f>
        <v>140</v>
      </c>
    </row>
    <row r="34" spans="8:9" x14ac:dyDescent="0.25">
      <c r="H34" t="s">
        <v>21</v>
      </c>
      <c r="I34" s="1">
        <f>(M13/J25)*100</f>
        <v>8.1931236283833204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Daniel Felipe Merlano Mercado</cp:lastModifiedBy>
  <cp:lastPrinted>2025-09-19T03:52:28Z</cp:lastPrinted>
  <dcterms:created xsi:type="dcterms:W3CDTF">2020-05-18T04:51:51Z</dcterms:created>
  <dcterms:modified xsi:type="dcterms:W3CDTF">2025-09-19T03:52:52Z</dcterms:modified>
</cp:coreProperties>
</file>