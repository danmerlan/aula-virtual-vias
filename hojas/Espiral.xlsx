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v\Downloads\"/>
    </mc:Choice>
  </mc:AlternateContent>
  <xr:revisionPtr revIDLastSave="0" documentId="8_{2FAA8EF4-F0B5-4828-89EB-B3B1AEAE7B71}" xr6:coauthVersionLast="47" xr6:coauthVersionMax="47" xr10:uidLastSave="{00000000-0000-0000-0000-000000000000}"/>
  <bookViews>
    <workbookView xWindow="-96" yWindow="0" windowWidth="14016" windowHeight="12336" xr2:uid="{402868B5-3EC9-4C96-8E59-CD9DF1A36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9" i="1" l="1"/>
  <c r="V44" i="1"/>
  <c r="V43" i="1"/>
  <c r="S44" i="1"/>
  <c r="S43" i="1"/>
  <c r="K23" i="1" l="1"/>
  <c r="K24" i="1"/>
  <c r="K25" i="1"/>
  <c r="K26" i="1"/>
  <c r="K27" i="1"/>
  <c r="K28" i="1"/>
  <c r="K29" i="1"/>
  <c r="K30" i="1"/>
  <c r="W41" i="1" s="1"/>
  <c r="K11" i="1"/>
  <c r="W35" i="1" s="1"/>
  <c r="Q41" i="1"/>
  <c r="S41" i="1"/>
  <c r="T41" i="1"/>
  <c r="U41" i="1"/>
  <c r="V41" i="1"/>
  <c r="R39" i="1"/>
  <c r="Q35" i="1"/>
  <c r="Q38" i="1"/>
  <c r="S35" i="1"/>
  <c r="T35" i="1"/>
  <c r="U35" i="1"/>
  <c r="V35" i="1"/>
  <c r="R36" i="1"/>
  <c r="R37" i="1"/>
  <c r="R40" i="1"/>
  <c r="AA34" i="1"/>
  <c r="Z34" i="1"/>
  <c r="X34" i="1"/>
  <c r="U34" i="1"/>
  <c r="V34" i="1"/>
  <c r="T34" i="1"/>
  <c r="S34" i="1"/>
  <c r="R34" i="1"/>
  <c r="L30" i="1"/>
  <c r="O30" i="1" s="1"/>
  <c r="AA41" i="1" s="1"/>
  <c r="X41" i="1" l="1"/>
  <c r="M30" i="1"/>
  <c r="Y41" i="1" s="1"/>
  <c r="N30" i="1" l="1"/>
  <c r="Z41" i="1" s="1"/>
  <c r="E30" i="1"/>
  <c r="R41" i="1" s="1"/>
  <c r="E19" i="1"/>
  <c r="L11" i="1"/>
  <c r="X35" i="1" s="1"/>
  <c r="K3" i="1"/>
  <c r="E11" i="1"/>
  <c r="F13" i="1" l="1"/>
  <c r="S37" i="1" s="1"/>
  <c r="R35" i="1"/>
  <c r="E20" i="1"/>
  <c r="R38" i="1"/>
  <c r="F20" i="1"/>
  <c r="F21" i="1"/>
  <c r="S39" i="1" s="1"/>
  <c r="B30" i="1"/>
  <c r="O11" i="1"/>
  <c r="AA35" i="1" s="1"/>
  <c r="F22" i="1"/>
  <c r="N11" i="1"/>
  <c r="Z35" i="1" s="1"/>
  <c r="G20" i="1"/>
  <c r="I20" i="1" s="1"/>
  <c r="M11" i="1"/>
  <c r="Y35" i="1" s="1"/>
  <c r="F19" i="1"/>
  <c r="F12" i="1"/>
  <c r="G13" i="1" l="1"/>
  <c r="H13" i="1" s="1"/>
  <c r="T37" i="1" s="1"/>
  <c r="G22" i="1"/>
  <c r="I22" i="1" s="1"/>
  <c r="U40" i="1" s="1"/>
  <c r="S40" i="1"/>
  <c r="G12" i="1"/>
  <c r="S36" i="1"/>
  <c r="G19" i="1"/>
  <c r="I19" i="1" s="1"/>
  <c r="U38" i="1" s="1"/>
  <c r="S38" i="1"/>
  <c r="G21" i="1"/>
  <c r="H21" i="1" s="1"/>
  <c r="T39" i="1" s="1"/>
  <c r="H20" i="1"/>
  <c r="J20" i="1" s="1"/>
  <c r="L20" i="1" s="1"/>
  <c r="H12" i="1"/>
  <c r="T36" i="1" s="1"/>
  <c r="I12" i="1"/>
  <c r="U36" i="1" s="1"/>
  <c r="I21" i="1" l="1"/>
  <c r="I13" i="1"/>
  <c r="J13" i="1" s="1"/>
  <c r="L13" i="1" s="1"/>
  <c r="H22" i="1"/>
  <c r="J21" i="1"/>
  <c r="V39" i="1" s="1"/>
  <c r="U39" i="1"/>
  <c r="H19" i="1"/>
  <c r="T38" i="1" s="1"/>
  <c r="K21" i="1"/>
  <c r="W39" i="1" s="1"/>
  <c r="L21" i="1"/>
  <c r="K20" i="1"/>
  <c r="J12" i="1"/>
  <c r="U37" i="1" l="1"/>
  <c r="N13" i="1"/>
  <c r="Z37" i="1" s="1"/>
  <c r="X37" i="1"/>
  <c r="M21" i="1"/>
  <c r="Y39" i="1" s="1"/>
  <c r="X39" i="1"/>
  <c r="J19" i="1"/>
  <c r="V38" i="1" s="1"/>
  <c r="O13" i="1"/>
  <c r="AA37" i="1" s="1"/>
  <c r="K13" i="1"/>
  <c r="W37" i="1" s="1"/>
  <c r="V37" i="1"/>
  <c r="L12" i="1"/>
  <c r="X36" i="1" s="1"/>
  <c r="V36" i="1"/>
  <c r="M13" i="1"/>
  <c r="Y37" i="1" s="1"/>
  <c r="J22" i="1"/>
  <c r="T40" i="1"/>
  <c r="N21" i="1"/>
  <c r="Z39" i="1" s="1"/>
  <c r="O21" i="1"/>
  <c r="AA39" i="1" s="1"/>
  <c r="M20" i="1"/>
  <c r="N20" i="1"/>
  <c r="O20" i="1"/>
  <c r="L19" i="1"/>
  <c r="X38" i="1" s="1"/>
  <c r="K19" i="1"/>
  <c r="W38" i="1" s="1"/>
  <c r="K12" i="1"/>
  <c r="W36" i="1" s="1"/>
  <c r="V40" i="1" l="1"/>
  <c r="L22" i="1"/>
  <c r="K22" i="1"/>
  <c r="W40" i="1" s="1"/>
  <c r="N12" i="1"/>
  <c r="Z36" i="1" s="1"/>
  <c r="O12" i="1"/>
  <c r="AA36" i="1" s="1"/>
  <c r="M19" i="1"/>
  <c r="Y38" i="1" s="1"/>
  <c r="N19" i="1"/>
  <c r="Z38" i="1" s="1"/>
  <c r="O19" i="1"/>
  <c r="AA38" i="1" s="1"/>
  <c r="M12" i="1"/>
  <c r="Y36" i="1" s="1"/>
  <c r="O22" i="1" l="1"/>
  <c r="AA40" i="1" s="1"/>
  <c r="X40" i="1"/>
  <c r="N22" i="1"/>
  <c r="Z40" i="1" s="1"/>
  <c r="M22" i="1"/>
  <c r="Y40" i="1" s="1"/>
</calcChain>
</file>

<file path=xl/sharedStrings.xml><?xml version="1.0" encoding="utf-8"?>
<sst xmlns="http://schemas.openxmlformats.org/spreadsheetml/2006/main" count="60" uniqueCount="59">
  <si>
    <t>Le</t>
  </si>
  <si>
    <t>Abscisa TE</t>
  </si>
  <si>
    <t>Abscisa</t>
  </si>
  <si>
    <t>TE</t>
  </si>
  <si>
    <t>EE</t>
  </si>
  <si>
    <t>ET</t>
  </si>
  <si>
    <t>θe</t>
  </si>
  <si>
    <t>Grados</t>
  </si>
  <si>
    <t>Minutos</t>
  </si>
  <si>
    <t>Segundos</t>
  </si>
  <si>
    <t>Radianes</t>
  </si>
  <si>
    <t>θ radianes</t>
  </si>
  <si>
    <t>X</t>
  </si>
  <si>
    <t>Y</t>
  </si>
  <si>
    <t>L</t>
  </si>
  <si>
    <t>φ</t>
  </si>
  <si>
    <t>PI NORTE</t>
  </si>
  <si>
    <t>PI ESTE</t>
  </si>
  <si>
    <t>Te</t>
  </si>
  <si>
    <t>N</t>
  </si>
  <si>
    <t>E</t>
  </si>
  <si>
    <t>Azimut</t>
  </si>
  <si>
    <t>Abscisa EE</t>
  </si>
  <si>
    <t>Abscisa ET</t>
  </si>
  <si>
    <t>CIFRAS DE REDONDEO</t>
  </si>
  <si>
    <t>Elementos</t>
  </si>
  <si>
    <t>Azimut Entrada =</t>
  </si>
  <si>
    <t>Azimut Salida =</t>
  </si>
  <si>
    <t>Ancho de calzada</t>
  </si>
  <si>
    <t>6 m</t>
  </si>
  <si>
    <t>Peralte</t>
  </si>
  <si>
    <t>Radio mínimo (R)</t>
  </si>
  <si>
    <t>43 m</t>
  </si>
  <si>
    <t>m máx.</t>
  </si>
  <si>
    <t>0,96 %</t>
  </si>
  <si>
    <t>m min</t>
  </si>
  <si>
    <t>0,1% carril</t>
  </si>
  <si>
    <t>Bombeo</t>
  </si>
  <si>
    <t>Pendiente longitudinal</t>
  </si>
  <si>
    <t>J</t>
  </si>
  <si>
    <t>Ancho de carril</t>
  </si>
  <si>
    <t>3. m</t>
  </si>
  <si>
    <t>150m</t>
  </si>
  <si>
    <t>Rc =</t>
  </si>
  <si>
    <t>43m</t>
  </si>
  <si>
    <t>C =</t>
  </si>
  <si>
    <t>5m</t>
  </si>
  <si>
    <t>Le =</t>
  </si>
  <si>
    <t>Te =</t>
  </si>
  <si>
    <r>
      <t>Cota en la abscisa PI =</t>
    </r>
    <r>
      <rPr>
        <b/>
        <sz val="12"/>
        <color rgb="FF000000"/>
        <rFont val="Amasis MT Pro"/>
        <family val="1"/>
      </rPr>
      <t xml:space="preserve"> K2+427.6073</t>
    </r>
  </si>
  <si>
    <t>θe =</t>
  </si>
  <si>
    <t>5°52'29.43''</t>
  </si>
  <si>
    <t>Xc =</t>
  </si>
  <si>
    <t>Yc =</t>
  </si>
  <si>
    <t>Ee =</t>
  </si>
  <si>
    <t>TI =</t>
  </si>
  <si>
    <t>Ce =</t>
  </si>
  <si>
    <t>φ =</t>
  </si>
  <si>
    <t>1°33'21.24''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</si>
</sst>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\K0\+000.000"/>
    <numFmt numFmtId="168" formatCode="0.0000"/>
    <numFmt numFmtId="169" formatCode="0.000"/>
    <numFmt numFmtId="173" formatCode="0.000000000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masis MT Pro"/>
      <family val="1"/>
    </font>
    <font>
      <sz val="12"/>
      <color rgb="FFFF0000"/>
      <name val="Amasis MT Pro"/>
      <family val="1"/>
    </font>
    <font>
      <sz val="12"/>
      <color theme="9"/>
      <name val="Amasis MT Pro"/>
      <family val="1"/>
    </font>
    <font>
      <b/>
      <sz val="12"/>
      <color theme="1"/>
      <name val="Amasis MT Pro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2"/>
      <color rgb="FF000000"/>
      <name val="Amasis MT Pro"/>
      <family val="1"/>
    </font>
    <font>
      <b/>
      <sz val="12"/>
      <color rgb="FF000000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DE9D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8" fontId="1" fillId="0" borderId="12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9" fontId="5" fillId="3" borderId="19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9" fontId="5" fillId="0" borderId="1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1" fillId="0" borderId="22" xfId="0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168" fontId="1" fillId="0" borderId="2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righ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right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right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right" vertical="center" wrapText="1"/>
    </xf>
    <xf numFmtId="0" fontId="1" fillId="0" borderId="29" xfId="0" applyFont="1" applyFill="1" applyBorder="1" applyAlignment="1">
      <alignment horizontal="righ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558F-26A2-409A-8B93-EEAC81866D4D}">
  <dimension ref="B1:AA55"/>
  <sheetViews>
    <sheetView tabSelected="1" topLeftCell="P32" workbookViewId="0">
      <selection activeCell="Q34" sqref="Q34:AA49"/>
    </sheetView>
  </sheetViews>
  <sheetFormatPr baseColWidth="10" defaultRowHeight="15.6" x14ac:dyDescent="0.3"/>
  <cols>
    <col min="1" max="1" width="11.5546875" style="1"/>
    <col min="2" max="2" width="25.44140625" style="1" bestFit="1" customWidth="1"/>
    <col min="3" max="3" width="12.21875" style="1" bestFit="1" customWidth="1"/>
    <col min="4" max="4" width="3.77734375" style="1" bestFit="1" customWidth="1"/>
    <col min="5" max="5" width="12.21875" style="1" bestFit="1" customWidth="1"/>
    <col min="6" max="6" width="7.109375" style="1" bestFit="1" customWidth="1"/>
    <col min="7" max="7" width="15.88671875" style="1" bestFit="1" customWidth="1"/>
    <col min="8" max="9" width="8.77734375" style="1" bestFit="1" customWidth="1"/>
    <col min="10" max="10" width="10.21875" style="1" bestFit="1" customWidth="1"/>
    <col min="11" max="11" width="13.21875" style="1" bestFit="1" customWidth="1"/>
    <col min="12" max="12" width="9.33203125" style="1" bestFit="1" customWidth="1"/>
    <col min="13" max="13" width="13.77734375" style="1" bestFit="1" customWidth="1"/>
    <col min="14" max="15" width="11" style="1" bestFit="1" customWidth="1"/>
    <col min="16" max="16" width="11.5546875" style="1"/>
    <col min="17" max="17" width="3.77734375" style="1" bestFit="1" customWidth="1"/>
    <col min="18" max="18" width="12.21875" style="1" bestFit="1" customWidth="1"/>
    <col min="19" max="21" width="8.21875" style="1" customWidth="1"/>
    <col min="22" max="22" width="7.109375" style="1" bestFit="1" customWidth="1"/>
    <col min="23" max="23" width="11.5546875" style="1"/>
    <col min="24" max="24" width="9.33203125" style="1" bestFit="1" customWidth="1"/>
    <col min="25" max="25" width="13.77734375" style="1" bestFit="1" customWidth="1"/>
    <col min="26" max="27" width="10.44140625" style="1" bestFit="1" customWidth="1"/>
    <col min="28" max="16384" width="11.5546875" style="1"/>
  </cols>
  <sheetData>
    <row r="1" spans="2:15" x14ac:dyDescent="0.3">
      <c r="B1" s="1" t="s">
        <v>24</v>
      </c>
      <c r="C1" s="5">
        <v>4</v>
      </c>
    </row>
    <row r="2" spans="2:15" x14ac:dyDescent="0.3">
      <c r="B2" s="1" t="s">
        <v>16</v>
      </c>
      <c r="C2" s="5">
        <v>7059.8612999999996</v>
      </c>
      <c r="H2" s="1" t="s">
        <v>7</v>
      </c>
      <c r="I2" s="1" t="s">
        <v>8</v>
      </c>
      <c r="J2" s="1" t="s">
        <v>9</v>
      </c>
      <c r="K2" s="1" t="s">
        <v>10</v>
      </c>
    </row>
    <row r="3" spans="2:15" x14ac:dyDescent="0.3">
      <c r="B3" s="1" t="s">
        <v>17</v>
      </c>
      <c r="C3" s="5">
        <v>4055.6397000000002</v>
      </c>
      <c r="G3" s="1" t="s">
        <v>6</v>
      </c>
      <c r="H3" s="5">
        <v>5</v>
      </c>
      <c r="I3" s="5">
        <v>52</v>
      </c>
      <c r="J3" s="5">
        <v>29.43</v>
      </c>
      <c r="K3" s="1">
        <f>(((J3/60)+I3)/60)+H3</f>
        <v>5.8748416666666667</v>
      </c>
      <c r="L3" s="4"/>
    </row>
    <row r="4" spans="2:15" x14ac:dyDescent="0.3">
      <c r="B4" s="1" t="s">
        <v>0</v>
      </c>
      <c r="C4" s="5">
        <v>8.82</v>
      </c>
      <c r="G4" s="1" t="s">
        <v>26</v>
      </c>
      <c r="H4" s="5">
        <v>309.00099999999998</v>
      </c>
    </row>
    <row r="5" spans="2:15" x14ac:dyDescent="0.3">
      <c r="B5" s="1" t="s">
        <v>18</v>
      </c>
      <c r="C5" s="5">
        <v>8.8409999999999993</v>
      </c>
      <c r="G5" s="1" t="s">
        <v>27</v>
      </c>
      <c r="H5" s="5">
        <v>320.75</v>
      </c>
    </row>
    <row r="6" spans="2:15" x14ac:dyDescent="0.3">
      <c r="B6" s="1" t="s">
        <v>1</v>
      </c>
      <c r="C6" s="6">
        <v>2418.7660000000001</v>
      </c>
    </row>
    <row r="7" spans="2:15" x14ac:dyDescent="0.3">
      <c r="B7" s="1" t="s">
        <v>22</v>
      </c>
      <c r="C7" s="6">
        <v>2427.5859999999998</v>
      </c>
    </row>
    <row r="8" spans="2:15" x14ac:dyDescent="0.3">
      <c r="B8" s="1" t="s">
        <v>23</v>
      </c>
      <c r="C8" s="6">
        <v>2436.4059999999999</v>
      </c>
    </row>
    <row r="10" spans="2:15" x14ac:dyDescent="0.3">
      <c r="E10" s="1" t="s">
        <v>2</v>
      </c>
      <c r="F10" s="1" t="s">
        <v>14</v>
      </c>
      <c r="G10" s="1" t="s">
        <v>11</v>
      </c>
      <c r="H10" s="1" t="s">
        <v>12</v>
      </c>
      <c r="I10" s="1" t="s">
        <v>13</v>
      </c>
      <c r="J10" s="9" t="s">
        <v>15</v>
      </c>
      <c r="K10" s="9"/>
      <c r="L10" s="9" t="s">
        <v>21</v>
      </c>
      <c r="M10" s="9"/>
      <c r="N10" s="1" t="s">
        <v>20</v>
      </c>
      <c r="O10" s="1" t="s">
        <v>19</v>
      </c>
    </row>
    <row r="11" spans="2:15" x14ac:dyDescent="0.3">
      <c r="D11" s="1" t="s">
        <v>3</v>
      </c>
      <c r="E11" s="11">
        <f>C6</f>
        <v>2418.7660000000001</v>
      </c>
      <c r="F11" s="6"/>
      <c r="G11" s="5"/>
      <c r="H11" s="5"/>
      <c r="I11" s="5"/>
      <c r="J11" s="5"/>
      <c r="K11" s="16" t="str">
        <f>TEXT(ABS(J11/24),"[h]°mm'ss.00''")</f>
        <v>0°00'00.00''</v>
      </c>
      <c r="L11" s="8">
        <f>H4</f>
        <v>309.00099999999998</v>
      </c>
      <c r="M11" s="16" t="str">
        <f>TEXT(ABS(L11/24),"[h]°mm'ss.00''")</f>
        <v>309°00'03.60''</v>
      </c>
      <c r="N11" s="8">
        <f>ROUND(C3+C5*SIN(RADIANS(L11+180)),$C$1)</f>
        <v>4062.5104000000001</v>
      </c>
      <c r="O11" s="8">
        <f>ROUND(C2+C5*COS(RADIANS(L11+180)),$C$1)</f>
        <v>7054.2974000000004</v>
      </c>
    </row>
    <row r="12" spans="2:15" x14ac:dyDescent="0.3">
      <c r="B12" s="10"/>
      <c r="C12" s="10"/>
      <c r="E12" s="6">
        <v>2420</v>
      </c>
      <c r="F12" s="14">
        <f>E12-$E$11</f>
        <v>1.2339999999999236</v>
      </c>
      <c r="G12" s="14">
        <f>RADIANS(((F12)/$C$4)^2*$K$3)</f>
        <v>2.0070892419714872E-3</v>
      </c>
      <c r="H12" s="14">
        <f>F12*(1-((G12^2)/(10))+((G12^4)/(216))-((G12^2)/(9360)))</f>
        <v>1.2339995023634691</v>
      </c>
      <c r="I12" s="14">
        <f>F12*((G12/3)-((G12^3)/(42))+((G12^5)/(1320))-((G12^7)/(75600)))</f>
        <v>8.2558247064163119E-4</v>
      </c>
      <c r="J12" s="14">
        <f>DEGREES(ATAN(I12/H12))</f>
        <v>3.833257959960408E-2</v>
      </c>
      <c r="K12" s="16" t="str">
        <f>TEXT(ABS(J12/24),"[h]°mm'ss.00''")</f>
        <v>0°02'18.00''</v>
      </c>
      <c r="L12" s="14">
        <f>$L$11+J12</f>
        <v>309.0393325795996</v>
      </c>
      <c r="M12" s="16" t="str">
        <f>TEXT(ABS(L12/24),"[h]°mm'ss.00''")</f>
        <v>309°02'21.60''</v>
      </c>
      <c r="N12" s="14">
        <f>$N$11+F12*SIN(RADIANS(L12))</f>
        <v>4061.5519352194056</v>
      </c>
      <c r="O12" s="14">
        <f>$O$11+H12*COS(RADIANS(L12))</f>
        <v>7055.074639202001</v>
      </c>
    </row>
    <row r="13" spans="2:15" x14ac:dyDescent="0.3">
      <c r="E13" s="6">
        <v>2425</v>
      </c>
      <c r="F13" s="14">
        <f t="shared" ref="F13" si="0">E13-$E$11</f>
        <v>6.2339999999999236</v>
      </c>
      <c r="G13" s="14">
        <f>RADIANS(((F13)/$C$4)^2*$K$3)</f>
        <v>5.122358373959493E-2</v>
      </c>
      <c r="H13" s="14">
        <f t="shared" ref="H13" si="1">F13*(1-((G13^2)/(10))+((G13^4)/(216))-((G13^2)/(9360)))</f>
        <v>6.2323627396044774</v>
      </c>
      <c r="I13" s="14">
        <f t="shared" ref="I13" si="2">F13*((G13/3)-((G13^3)/(42))+((G13^5)/(1320))-((G13^7)/(75600)))</f>
        <v>0.10642265938892502</v>
      </c>
      <c r="J13" s="14">
        <f t="shared" ref="J13" si="3">DEGREES(ATAN(I13/H13))</f>
        <v>0.97827692899013519</v>
      </c>
      <c r="K13" s="16" t="str">
        <f t="shared" ref="K13" si="4">TEXT(ABS(J13/24),"[h]°mm'ss.00''")</f>
        <v>0°58'41.80''</v>
      </c>
      <c r="L13" s="14">
        <f t="shared" ref="L13" si="5">$L$11+J13</f>
        <v>309.97927692899009</v>
      </c>
      <c r="M13" s="16" t="str">
        <f t="shared" ref="M13" si="6">TEXT(ABS(L13/24),"[h]°mm'ss.00''")</f>
        <v>309°58'45.40''</v>
      </c>
      <c r="N13" s="14">
        <f>$N$11+F13*SIN(RADIANS(L13))</f>
        <v>4057.7334299290073</v>
      </c>
      <c r="O13" s="14">
        <f>$O$11+H13*COS(RADIANS(L13))</f>
        <v>7058.3017585014768</v>
      </c>
    </row>
    <row r="14" spans="2:15" x14ac:dyDescent="0.3">
      <c r="E14" s="6">
        <v>0</v>
      </c>
      <c r="F14" s="14"/>
      <c r="G14" s="14"/>
      <c r="H14" s="14"/>
      <c r="I14" s="14"/>
      <c r="J14" s="14"/>
      <c r="K14" s="16"/>
      <c r="L14" s="14"/>
      <c r="M14" s="16"/>
      <c r="N14" s="14"/>
      <c r="O14" s="14"/>
    </row>
    <row r="15" spans="2:15" x14ac:dyDescent="0.3">
      <c r="E15" s="6">
        <v>0</v>
      </c>
      <c r="F15" s="14"/>
      <c r="G15" s="14"/>
      <c r="H15" s="14"/>
      <c r="I15" s="14"/>
      <c r="J15" s="14"/>
      <c r="K15" s="16"/>
      <c r="L15" s="14"/>
      <c r="M15" s="16"/>
      <c r="N15" s="14"/>
      <c r="O15" s="14"/>
    </row>
    <row r="16" spans="2:15" x14ac:dyDescent="0.3">
      <c r="E16" s="2"/>
      <c r="F16" s="3"/>
      <c r="G16" s="3"/>
      <c r="H16" s="3"/>
      <c r="I16" s="3"/>
      <c r="J16" s="3"/>
      <c r="K16" s="16"/>
      <c r="L16" s="3"/>
      <c r="M16" s="16"/>
      <c r="N16" s="3"/>
      <c r="O16" s="3"/>
    </row>
    <row r="17" spans="2:15" x14ac:dyDescent="0.3">
      <c r="E17" s="2"/>
      <c r="F17" s="3"/>
      <c r="G17" s="3"/>
      <c r="H17" s="3"/>
      <c r="I17" s="3"/>
      <c r="J17" s="3"/>
      <c r="K17" s="16"/>
      <c r="L17" s="3"/>
      <c r="M17" s="16"/>
      <c r="N17" s="3"/>
      <c r="O17" s="3"/>
    </row>
    <row r="18" spans="2:15" x14ac:dyDescent="0.3">
      <c r="E18" s="2"/>
      <c r="F18" s="3"/>
      <c r="G18" s="3"/>
      <c r="H18" s="3"/>
      <c r="I18" s="3"/>
      <c r="J18" s="3"/>
      <c r="K18" s="16"/>
      <c r="L18" s="3"/>
      <c r="M18" s="16"/>
      <c r="N18" s="3"/>
      <c r="O18" s="3"/>
    </row>
    <row r="19" spans="2:15" x14ac:dyDescent="0.3">
      <c r="D19" s="1" t="s">
        <v>4</v>
      </c>
      <c r="E19" s="11">
        <f>C7</f>
        <v>2427.5859999999998</v>
      </c>
      <c r="F19" s="14">
        <f t="shared" ref="F19:F23" si="7">E19-$E$11</f>
        <v>8.819999999999709</v>
      </c>
      <c r="G19" s="14">
        <f>RADIANS(((F19)/$C$4)^2*$K$3)</f>
        <v>0.10253533011667774</v>
      </c>
      <c r="H19" s="14">
        <f t="shared" ref="H19" si="8">ROUND(F19*(1-((G19^2)/(10))+((G19^4)/(216))-((G19^2)/(9360))),$C$1)</f>
        <v>8.8107000000000006</v>
      </c>
      <c r="I19" s="14">
        <f t="shared" ref="I19" si="9">ROUND(F19*((G19/3)-((G19^3)/(42))+((G19^5)/(1320))-((G19^7)/(75600))),$C$1)</f>
        <v>0.30120000000000002</v>
      </c>
      <c r="J19" s="14">
        <f t="shared" ref="J19:J21" si="10">DEGREES(ATAN(I19/H19))</f>
        <v>1.957934190555555</v>
      </c>
      <c r="K19" s="16" t="str">
        <f t="shared" ref="K19:K30" si="11">TEXT(ABS(J19/24),"[h]°mm'ss.00''")</f>
        <v>1°57'28.56''</v>
      </c>
      <c r="L19" s="14">
        <f t="shared" ref="L19" si="12">$L$11+J19</f>
        <v>310.95893419055551</v>
      </c>
      <c r="M19" s="16" t="str">
        <f t="shared" ref="M19:M22" si="13">TEXT(ABS(L19/24),"[h]°mm'ss.00''")</f>
        <v>310°57'32.16''</v>
      </c>
      <c r="N19" s="14">
        <f>ROUND($N$11+F19*SIN(RADIANS(L19)),$C$1)</f>
        <v>4055.8497000000002</v>
      </c>
      <c r="O19" s="14">
        <f>ROUND($O$11+H19*COS(RADIANS(L19)),$C$1)</f>
        <v>7060.0730000000003</v>
      </c>
    </row>
    <row r="20" spans="2:15" x14ac:dyDescent="0.3">
      <c r="D20" s="1" t="s">
        <v>4</v>
      </c>
      <c r="E20" s="15">
        <f>E19</f>
        <v>2427.5859999999998</v>
      </c>
      <c r="F20" s="14">
        <f t="shared" ref="F20:F22" si="14">$E$30-E20</f>
        <v>8.8200000000001637</v>
      </c>
      <c r="G20" s="14">
        <f>RADIANS(((F20)/$C$4)^2*$K$3)</f>
        <v>0.10253533011668832</v>
      </c>
      <c r="H20" s="14">
        <f t="shared" ref="H20:H21" si="15">F20*(1-((G20^2)/(10))+((G20^4)/(216))-((G20^2)/(9360)))</f>
        <v>8.810721704868115</v>
      </c>
      <c r="I20" s="14">
        <f t="shared" ref="I20:I21" si="16">F20*((G20/3)-((G20^3)/(42))+((G20^5)/(1320))-((G20^7)/(75600)))</f>
        <v>0.30122756529848838</v>
      </c>
      <c r="J20" s="14">
        <f t="shared" si="10"/>
        <v>1.9581084178126182</v>
      </c>
      <c r="K20" s="16" t="str">
        <f t="shared" si="11"/>
        <v>1°57'29.19''</v>
      </c>
      <c r="L20" s="14">
        <f t="shared" ref="L20:L21" si="17">($L$30+180)-J20</f>
        <v>498.79189158218736</v>
      </c>
      <c r="M20" s="16" t="str">
        <f t="shared" si="13"/>
        <v>498°47'30.81''</v>
      </c>
      <c r="N20" s="14">
        <f>$N$30+F20*SIN(RADIANS(L20))</f>
        <v>4055.8565801398013</v>
      </c>
      <c r="O20" s="14">
        <f>$O$30+H20*COS(RADIANS(L20))</f>
        <v>7060.0792083711412</v>
      </c>
    </row>
    <row r="21" spans="2:15" x14ac:dyDescent="0.3">
      <c r="E21" s="6">
        <v>2430</v>
      </c>
      <c r="F21" s="14">
        <f t="shared" si="14"/>
        <v>6.4059999999999491</v>
      </c>
      <c r="G21" s="14">
        <f>RADIANS(((F21)/$C$4)^2*$K$3)</f>
        <v>5.4089159432080466E-2</v>
      </c>
      <c r="H21" s="14">
        <f t="shared" si="15"/>
        <v>6.4041240883672197</v>
      </c>
      <c r="I21" s="14">
        <f t="shared" si="16"/>
        <v>0.11547425118481963</v>
      </c>
      <c r="J21" s="14">
        <f t="shared" si="10"/>
        <v>1.0330015867617848</v>
      </c>
      <c r="K21" s="16" t="str">
        <f t="shared" si="11"/>
        <v>1°01'58.81''</v>
      </c>
      <c r="L21" s="14">
        <f t="shared" si="17"/>
        <v>499.71699841323823</v>
      </c>
      <c r="M21" s="16" t="str">
        <f t="shared" si="13"/>
        <v>499°43'01.19''</v>
      </c>
      <c r="N21" s="14">
        <f>$N$30+F21*SIN(RADIANS(L21))</f>
        <v>4054.187885678004</v>
      </c>
      <c r="O21" s="14">
        <f>$O$30+H21*COS(RADIANS(L21))</f>
        <v>7061.8222540820325</v>
      </c>
    </row>
    <row r="22" spans="2:15" x14ac:dyDescent="0.3">
      <c r="E22" s="6">
        <v>2435</v>
      </c>
      <c r="F22" s="14">
        <f t="shared" si="14"/>
        <v>1.4059999999999491</v>
      </c>
      <c r="G22" s="14">
        <f>RADIANS(((F22)/$C$4)^2*$K$3)</f>
        <v>2.6055955574905963E-3</v>
      </c>
      <c r="H22" s="14">
        <f t="shared" ref="H22" si="18">F22*(1-((G22^2)/(10))+((G22^4)/(216))-((G22^2)/(9360)))</f>
        <v>1.4059990444290029</v>
      </c>
      <c r="I22" s="14">
        <f t="shared" ref="I22" si="19">F22*((G22/3)-((G22^3)/(42))+((G22^5)/(1320))-((G22^7)/(75600)))</f>
        <v>1.2211551924261631E-3</v>
      </c>
      <c r="J22" s="14">
        <f t="shared" ref="J22" si="20">DEGREES(ATAN(I22/H22))</f>
        <v>4.9763206696748087E-2</v>
      </c>
      <c r="K22" s="16" t="str">
        <f t="shared" si="11"/>
        <v>0°02'59.15''</v>
      </c>
      <c r="L22" s="14">
        <f>($L$30+180)-J22</f>
        <v>500.70023679330325</v>
      </c>
      <c r="M22" s="16" t="str">
        <f t="shared" si="13"/>
        <v>500°42'00.85''</v>
      </c>
      <c r="N22" s="14">
        <f>$N$30+F22*SIN(RADIANS(L22))</f>
        <v>4050.9365290103156</v>
      </c>
      <c r="O22" s="14">
        <f>$O$30+H22*COS(RADIANS(L22))</f>
        <v>7065.6196830905092</v>
      </c>
    </row>
    <row r="23" spans="2:15" x14ac:dyDescent="0.3">
      <c r="E23" s="6">
        <v>0</v>
      </c>
      <c r="F23" s="7"/>
      <c r="G23" s="8"/>
      <c r="H23" s="8"/>
      <c r="I23" s="8"/>
      <c r="J23" s="8"/>
      <c r="K23" s="16" t="str">
        <f t="shared" si="11"/>
        <v>0°00'00.00''</v>
      </c>
      <c r="L23" s="8"/>
      <c r="M23" s="8"/>
      <c r="N23" s="7"/>
      <c r="O23" s="13"/>
    </row>
    <row r="24" spans="2:15" x14ac:dyDescent="0.3">
      <c r="E24" s="6">
        <v>0</v>
      </c>
      <c r="F24" s="7"/>
      <c r="G24" s="8"/>
      <c r="H24" s="8"/>
      <c r="I24" s="8"/>
      <c r="J24" s="8"/>
      <c r="K24" s="16" t="str">
        <f t="shared" si="11"/>
        <v>0°00'00.00''</v>
      </c>
      <c r="L24" s="8"/>
      <c r="M24" s="8"/>
      <c r="N24" s="7"/>
      <c r="O24" s="13"/>
    </row>
    <row r="25" spans="2:15" x14ac:dyDescent="0.3">
      <c r="E25" s="6">
        <v>0</v>
      </c>
      <c r="F25" s="7"/>
      <c r="G25" s="8"/>
      <c r="H25" s="8"/>
      <c r="I25" s="8"/>
      <c r="J25" s="8"/>
      <c r="K25" s="16" t="str">
        <f t="shared" si="11"/>
        <v>0°00'00.00''</v>
      </c>
      <c r="L25" s="8"/>
      <c r="M25" s="8"/>
      <c r="N25" s="7"/>
      <c r="O25" s="13"/>
    </row>
    <row r="26" spans="2:15" x14ac:dyDescent="0.3">
      <c r="E26" s="6">
        <v>0</v>
      </c>
      <c r="F26" s="7"/>
      <c r="G26" s="8"/>
      <c r="H26" s="8"/>
      <c r="I26" s="8"/>
      <c r="J26" s="8"/>
      <c r="K26" s="16" t="str">
        <f t="shared" si="11"/>
        <v>0°00'00.00''</v>
      </c>
      <c r="L26" s="8"/>
      <c r="M26" s="8"/>
      <c r="N26" s="7"/>
      <c r="O26" s="8"/>
    </row>
    <row r="27" spans="2:15" x14ac:dyDescent="0.3">
      <c r="E27" s="6">
        <v>0</v>
      </c>
      <c r="F27" s="7"/>
      <c r="G27" s="8"/>
      <c r="H27" s="8"/>
      <c r="I27" s="8"/>
      <c r="J27" s="8"/>
      <c r="K27" s="16" t="str">
        <f t="shared" si="11"/>
        <v>0°00'00.00''</v>
      </c>
      <c r="L27" s="8"/>
      <c r="M27" s="8"/>
      <c r="N27" s="7"/>
      <c r="O27" s="13"/>
    </row>
    <row r="28" spans="2:15" x14ac:dyDescent="0.3">
      <c r="E28" s="6">
        <v>0</v>
      </c>
      <c r="F28" s="7"/>
      <c r="G28" s="8"/>
      <c r="H28" s="8"/>
      <c r="I28" s="8"/>
      <c r="J28" s="8"/>
      <c r="K28" s="16" t="str">
        <f t="shared" si="11"/>
        <v>0°00'00.00''</v>
      </c>
      <c r="L28" s="8"/>
      <c r="M28" s="8"/>
      <c r="N28" s="7"/>
      <c r="O28" s="13"/>
    </row>
    <row r="29" spans="2:15" x14ac:dyDescent="0.3">
      <c r="E29" s="6">
        <v>0</v>
      </c>
      <c r="F29" s="7"/>
      <c r="G29" s="8"/>
      <c r="H29" s="8"/>
      <c r="I29" s="8"/>
      <c r="J29" s="8"/>
      <c r="K29" s="16" t="str">
        <f t="shared" si="11"/>
        <v>0°00'00.00''</v>
      </c>
      <c r="L29" s="8"/>
      <c r="M29" s="8"/>
      <c r="N29" s="7"/>
      <c r="O29" s="13"/>
    </row>
    <row r="30" spans="2:15" x14ac:dyDescent="0.3">
      <c r="B30" s="12">
        <f>E30-E11</f>
        <v>17.639999999999873</v>
      </c>
      <c r="D30" s="1" t="s">
        <v>5</v>
      </c>
      <c r="E30" s="11">
        <f>C8</f>
        <v>2436.4059999999999</v>
      </c>
      <c r="F30" s="6"/>
      <c r="G30" s="5"/>
      <c r="H30" s="5"/>
      <c r="I30" s="5"/>
      <c r="J30" s="5"/>
      <c r="K30" s="16" t="str">
        <f t="shared" si="11"/>
        <v>0°00'00.00''</v>
      </c>
      <c r="L30" s="1">
        <f>H5</f>
        <v>320.75</v>
      </c>
      <c r="M30" s="1" t="str">
        <f>TEXT(ABS(L30/24),"[h]°mm'ss.00''")</f>
        <v>320°45'00.00''</v>
      </c>
      <c r="N30" s="7">
        <f>ROUND($C$3+C5*SIN(RADIANS(L30)),$C$1)</f>
        <v>4050.0459999999998</v>
      </c>
      <c r="O30" s="14">
        <f>$C$2+C5*COS(RADIANS(L30))</f>
        <v>7066.7077053663306</v>
      </c>
    </row>
    <row r="33" spans="11:27" ht="16.2" thickBot="1" x14ac:dyDescent="0.35"/>
    <row r="34" spans="11:27" ht="16.8" thickBot="1" x14ac:dyDescent="0.35">
      <c r="Q34" s="36"/>
      <c r="R34" s="35" t="str">
        <f>E10</f>
        <v>Abscisa</v>
      </c>
      <c r="S34" s="29" t="str">
        <f>F10</f>
        <v>L</v>
      </c>
      <c r="T34" s="29" t="str">
        <f>H10</f>
        <v>X</v>
      </c>
      <c r="U34" s="29" t="str">
        <f t="shared" ref="U34:V34" si="21">I10</f>
        <v>Y</v>
      </c>
      <c r="V34" s="30" t="str">
        <f t="shared" si="21"/>
        <v>φ</v>
      </c>
      <c r="W34" s="30"/>
      <c r="X34" s="30" t="str">
        <f t="shared" ref="X34" si="22">L10</f>
        <v>Azimut</v>
      </c>
      <c r="Y34" s="30"/>
      <c r="Z34" s="29" t="str">
        <f t="shared" ref="Z34:AA34" si="23">N10</f>
        <v>E</v>
      </c>
      <c r="AA34" s="31" t="str">
        <f t="shared" si="23"/>
        <v>N</v>
      </c>
    </row>
    <row r="35" spans="11:27" x14ac:dyDescent="0.3">
      <c r="Q35" s="20" t="str">
        <f t="shared" ref="Q35:S35" si="24">D11</f>
        <v>TE</v>
      </c>
      <c r="R35" s="22">
        <f t="shared" si="24"/>
        <v>2418.7660000000001</v>
      </c>
      <c r="S35" s="23">
        <f t="shared" si="24"/>
        <v>0</v>
      </c>
      <c r="T35" s="23">
        <f t="shared" ref="T35:T37" si="25">H11</f>
        <v>0</v>
      </c>
      <c r="U35" s="23">
        <f t="shared" ref="U35:U37" si="26">I11</f>
        <v>0</v>
      </c>
      <c r="V35" s="23">
        <f t="shared" ref="V35:W37" si="27">J11</f>
        <v>0</v>
      </c>
      <c r="W35" s="24" t="str">
        <f t="shared" si="27"/>
        <v>0°00'00.00''</v>
      </c>
      <c r="X35" s="23">
        <f t="shared" ref="X35:Y37" si="28">L11</f>
        <v>309.00099999999998</v>
      </c>
      <c r="Y35" s="24" t="str">
        <f t="shared" si="28"/>
        <v>309°00'03.60''</v>
      </c>
      <c r="Z35" s="23">
        <f t="shared" ref="Z35:Z37" si="29">N11</f>
        <v>4062.5104000000001</v>
      </c>
      <c r="AA35" s="25">
        <f t="shared" ref="AA35:AA37" si="30">O11</f>
        <v>7054.2974000000004</v>
      </c>
    </row>
    <row r="36" spans="11:27" x14ac:dyDescent="0.3">
      <c r="Q36" s="33"/>
      <c r="R36" s="26">
        <f t="shared" ref="Q36:S36" si="31">E12</f>
        <v>2420</v>
      </c>
      <c r="S36" s="18">
        <f t="shared" si="31"/>
        <v>1.2339999999999236</v>
      </c>
      <c r="T36" s="18">
        <f t="shared" si="25"/>
        <v>1.2339995023634691</v>
      </c>
      <c r="U36" s="18">
        <f t="shared" si="26"/>
        <v>8.2558247064163119E-4</v>
      </c>
      <c r="V36" s="18">
        <f t="shared" si="27"/>
        <v>3.833257959960408E-2</v>
      </c>
      <c r="W36" s="17" t="str">
        <f t="shared" si="27"/>
        <v>0°02'18.00''</v>
      </c>
      <c r="X36" s="18">
        <f t="shared" si="28"/>
        <v>309.0393325795996</v>
      </c>
      <c r="Y36" s="17" t="str">
        <f t="shared" si="28"/>
        <v>309°02'21.60''</v>
      </c>
      <c r="Z36" s="18">
        <f t="shared" si="29"/>
        <v>4061.5519352194056</v>
      </c>
      <c r="AA36" s="27">
        <f t="shared" si="30"/>
        <v>7055.074639202001</v>
      </c>
    </row>
    <row r="37" spans="11:27" x14ac:dyDescent="0.3">
      <c r="Q37" s="34"/>
      <c r="R37" s="26">
        <f t="shared" ref="Q37:S37" si="32">E13</f>
        <v>2425</v>
      </c>
      <c r="S37" s="18">
        <f t="shared" si="32"/>
        <v>6.2339999999999236</v>
      </c>
      <c r="T37" s="18">
        <f t="shared" si="25"/>
        <v>6.2323627396044774</v>
      </c>
      <c r="U37" s="18">
        <f t="shared" si="26"/>
        <v>0.10642265938892502</v>
      </c>
      <c r="V37" s="18">
        <f t="shared" si="27"/>
        <v>0.97827692899013519</v>
      </c>
      <c r="W37" s="17" t="str">
        <f t="shared" si="27"/>
        <v>0°58'41.80''</v>
      </c>
      <c r="X37" s="18">
        <f t="shared" si="28"/>
        <v>309.97927692899009</v>
      </c>
      <c r="Y37" s="17" t="str">
        <f t="shared" si="28"/>
        <v>309°58'45.40''</v>
      </c>
      <c r="Z37" s="18">
        <f t="shared" si="29"/>
        <v>4057.7334299290073</v>
      </c>
      <c r="AA37" s="27">
        <f t="shared" si="30"/>
        <v>7058.3017585014768</v>
      </c>
    </row>
    <row r="38" spans="11:27" x14ac:dyDescent="0.3">
      <c r="Q38" s="21" t="str">
        <f t="shared" ref="Q38:S38" si="33">D19</f>
        <v>EE</v>
      </c>
      <c r="R38" s="26">
        <f t="shared" si="33"/>
        <v>2427.5859999999998</v>
      </c>
      <c r="S38" s="18">
        <f t="shared" si="33"/>
        <v>8.819999999999709</v>
      </c>
      <c r="T38" s="18">
        <f>H19</f>
        <v>8.8107000000000006</v>
      </c>
      <c r="U38" s="18">
        <f>I19</f>
        <v>0.30120000000000002</v>
      </c>
      <c r="V38" s="18">
        <f>J19</f>
        <v>1.957934190555555</v>
      </c>
      <c r="W38" s="17" t="str">
        <f>K19</f>
        <v>1°57'28.56''</v>
      </c>
      <c r="X38" s="18">
        <f>L19</f>
        <v>310.95893419055551</v>
      </c>
      <c r="Y38" s="17" t="str">
        <f>M19</f>
        <v>310°57'32.16''</v>
      </c>
      <c r="Z38" s="18">
        <f>N19</f>
        <v>4055.8497000000002</v>
      </c>
      <c r="AA38" s="27">
        <f>O19</f>
        <v>7060.0730000000003</v>
      </c>
    </row>
    <row r="39" spans="11:27" x14ac:dyDescent="0.3">
      <c r="Q39" s="33"/>
      <c r="R39" s="28">
        <f>E21</f>
        <v>2430</v>
      </c>
      <c r="S39" s="18">
        <f>F21</f>
        <v>6.4059999999999491</v>
      </c>
      <c r="T39" s="18">
        <f>H21</f>
        <v>6.4041240883672197</v>
      </c>
      <c r="U39" s="18">
        <f>I21</f>
        <v>0.11547425118481963</v>
      </c>
      <c r="V39" s="18">
        <f>J21</f>
        <v>1.0330015867617848</v>
      </c>
      <c r="W39" s="17" t="str">
        <f>K21</f>
        <v>1°01'58.81''</v>
      </c>
      <c r="X39" s="18">
        <f>L21</f>
        <v>499.71699841323823</v>
      </c>
      <c r="Y39" s="17" t="str">
        <f>M21</f>
        <v>499°43'01.19''</v>
      </c>
      <c r="Z39" s="18">
        <f>N21</f>
        <v>4054.187885678004</v>
      </c>
      <c r="AA39" s="27">
        <f>O21</f>
        <v>7061.8222540820325</v>
      </c>
    </row>
    <row r="40" spans="11:27" x14ac:dyDescent="0.3">
      <c r="Q40" s="34"/>
      <c r="R40" s="26">
        <f t="shared" ref="Q40:S40" si="34">E22</f>
        <v>2435</v>
      </c>
      <c r="S40" s="18">
        <f t="shared" si="34"/>
        <v>1.4059999999999491</v>
      </c>
      <c r="T40" s="18">
        <f>H22</f>
        <v>1.4059990444290029</v>
      </c>
      <c r="U40" s="18">
        <f>I22</f>
        <v>1.2211551924261631E-3</v>
      </c>
      <c r="V40" s="18">
        <f>J22</f>
        <v>4.9763206696748087E-2</v>
      </c>
      <c r="W40" s="17" t="str">
        <f>K22</f>
        <v>0°02'59.15''</v>
      </c>
      <c r="X40" s="18">
        <f>L22</f>
        <v>500.70023679330325</v>
      </c>
      <c r="Y40" s="17" t="str">
        <f>M22</f>
        <v>500°42'00.85''</v>
      </c>
      <c r="Z40" s="18">
        <f>N22</f>
        <v>4050.9365290103156</v>
      </c>
      <c r="AA40" s="27">
        <f>O22</f>
        <v>7065.6196830905092</v>
      </c>
    </row>
    <row r="41" spans="11:27" ht="16.2" thickBot="1" x14ac:dyDescent="0.35">
      <c r="Q41" s="32" t="str">
        <f>D30</f>
        <v>ET</v>
      </c>
      <c r="R41" s="47">
        <f>E30</f>
        <v>2436.4059999999999</v>
      </c>
      <c r="S41" s="48">
        <f>F30</f>
        <v>0</v>
      </c>
      <c r="T41" s="48">
        <f t="shared" ref="T41:AA41" si="35">H30</f>
        <v>0</v>
      </c>
      <c r="U41" s="48">
        <f t="shared" si="35"/>
        <v>0</v>
      </c>
      <c r="V41" s="48">
        <f t="shared" si="35"/>
        <v>0</v>
      </c>
      <c r="W41" s="19" t="str">
        <f t="shared" si="35"/>
        <v>0°00'00.00''</v>
      </c>
      <c r="X41" s="48">
        <f t="shared" si="35"/>
        <v>320.75</v>
      </c>
      <c r="Y41" s="19" t="str">
        <f t="shared" si="35"/>
        <v>320°45'00.00''</v>
      </c>
      <c r="Z41" s="48">
        <f t="shared" si="35"/>
        <v>4050.0459999999998</v>
      </c>
      <c r="AA41" s="49">
        <f t="shared" si="35"/>
        <v>7066.7077053663306</v>
      </c>
    </row>
    <row r="42" spans="11:27" ht="16.2" thickBot="1" x14ac:dyDescent="0.35">
      <c r="Q42" s="54" t="s">
        <v>25</v>
      </c>
      <c r="R42" s="55"/>
      <c r="S42" s="55"/>
      <c r="T42" s="55"/>
      <c r="U42" s="55"/>
      <c r="V42" s="55"/>
      <c r="W42" s="55"/>
      <c r="X42" s="55"/>
      <c r="Y42" s="55"/>
      <c r="Z42" s="55"/>
      <c r="AA42" s="56"/>
    </row>
    <row r="43" spans="11:27" s="45" customFormat="1" x14ac:dyDescent="0.3">
      <c r="Q43" s="57"/>
      <c r="R43" s="58"/>
      <c r="S43" s="59" t="str">
        <f>G4</f>
        <v>Azimut Entrada =</v>
      </c>
      <c r="T43" s="59"/>
      <c r="U43" s="59"/>
      <c r="V43" s="72">
        <f>H4</f>
        <v>309.00099999999998</v>
      </c>
      <c r="W43" s="73"/>
      <c r="X43" s="67" t="s">
        <v>50</v>
      </c>
      <c r="Y43" s="82" t="s">
        <v>51</v>
      </c>
      <c r="Z43" s="68"/>
      <c r="AA43" s="69"/>
    </row>
    <row r="44" spans="11:27" s="45" customFormat="1" x14ac:dyDescent="0.3">
      <c r="Q44" s="60"/>
      <c r="R44" s="50"/>
      <c r="S44" s="51" t="str">
        <f>G5</f>
        <v>Azimut Salida =</v>
      </c>
      <c r="T44" s="51"/>
      <c r="U44" s="51"/>
      <c r="V44" s="74">
        <f>H5</f>
        <v>320.75</v>
      </c>
      <c r="W44" s="75"/>
      <c r="X44" s="70" t="s">
        <v>52</v>
      </c>
      <c r="Y44" s="78">
        <v>8.81</v>
      </c>
      <c r="Z44" s="53"/>
      <c r="AA44" s="61"/>
    </row>
    <row r="45" spans="11:27" s="45" customFormat="1" ht="34.799999999999997" customHeight="1" x14ac:dyDescent="0.3">
      <c r="Q45" s="60"/>
      <c r="R45" s="50"/>
      <c r="S45" s="46" t="s">
        <v>49</v>
      </c>
      <c r="T45" s="46"/>
      <c r="U45" s="46"/>
      <c r="V45" s="76" t="s">
        <v>42</v>
      </c>
      <c r="W45" s="77"/>
      <c r="X45" s="70" t="s">
        <v>53</v>
      </c>
      <c r="Y45" s="78">
        <v>0.30099999999999999</v>
      </c>
      <c r="Z45" s="53"/>
      <c r="AA45" s="61"/>
    </row>
    <row r="46" spans="11:27" s="45" customFormat="1" ht="16.2" thickBot="1" x14ac:dyDescent="0.35">
      <c r="Q46" s="60"/>
      <c r="R46" s="50"/>
      <c r="S46" s="52"/>
      <c r="T46" s="52"/>
      <c r="U46" s="52" t="s">
        <v>43</v>
      </c>
      <c r="V46" s="78" t="s">
        <v>44</v>
      </c>
      <c r="W46" s="79"/>
      <c r="X46" s="70" t="s">
        <v>54</v>
      </c>
      <c r="Y46" s="78">
        <v>0.30299999999999999</v>
      </c>
      <c r="Z46" s="53"/>
      <c r="AA46" s="61"/>
    </row>
    <row r="47" spans="11:27" s="45" customFormat="1" ht="28.2" thickBot="1" x14ac:dyDescent="0.35">
      <c r="K47" s="37" t="s">
        <v>28</v>
      </c>
      <c r="L47" s="38" t="s">
        <v>29</v>
      </c>
      <c r="Q47" s="60"/>
      <c r="R47" s="50"/>
      <c r="S47" s="52"/>
      <c r="T47" s="52"/>
      <c r="U47" s="52" t="s">
        <v>45</v>
      </c>
      <c r="V47" s="78" t="s">
        <v>46</v>
      </c>
      <c r="W47" s="79"/>
      <c r="X47" s="70" t="s">
        <v>55</v>
      </c>
      <c r="Y47" s="78">
        <v>2.9249999999999998</v>
      </c>
      <c r="Z47" s="53"/>
      <c r="AA47" s="61"/>
    </row>
    <row r="48" spans="11:27" s="45" customFormat="1" ht="16.2" thickBot="1" x14ac:dyDescent="0.35">
      <c r="K48" s="39" t="s">
        <v>30</v>
      </c>
      <c r="L48" s="40">
        <v>0.06</v>
      </c>
      <c r="Q48" s="60"/>
      <c r="R48" s="50"/>
      <c r="S48" s="52"/>
      <c r="T48" s="52"/>
      <c r="U48" s="52" t="s">
        <v>47</v>
      </c>
      <c r="V48" s="78">
        <v>8.82</v>
      </c>
      <c r="W48" s="79"/>
      <c r="X48" s="70" t="s">
        <v>56</v>
      </c>
      <c r="Y48" s="78">
        <v>8.8149999999999995</v>
      </c>
      <c r="Z48" s="53"/>
      <c r="AA48" s="61"/>
    </row>
    <row r="49" spans="11:27" s="45" customFormat="1" ht="28.2" thickBot="1" x14ac:dyDescent="0.35">
      <c r="K49" s="41" t="s">
        <v>31</v>
      </c>
      <c r="L49" s="42" t="s">
        <v>32</v>
      </c>
      <c r="Q49" s="62"/>
      <c r="R49" s="63"/>
      <c r="S49" s="64"/>
      <c r="T49" s="64"/>
      <c r="U49" s="64" t="s">
        <v>48</v>
      </c>
      <c r="V49" s="80">
        <f>C5</f>
        <v>8.8409999999999993</v>
      </c>
      <c r="W49" s="81"/>
      <c r="X49" s="71" t="s">
        <v>57</v>
      </c>
      <c r="Y49" s="80" t="s">
        <v>58</v>
      </c>
      <c r="Z49" s="65"/>
      <c r="AA49" s="66"/>
    </row>
    <row r="50" spans="11:27" ht="16.2" thickBot="1" x14ac:dyDescent="0.35">
      <c r="K50" s="39" t="s">
        <v>33</v>
      </c>
      <c r="L50" s="43" t="s">
        <v>34</v>
      </c>
    </row>
    <row r="51" spans="11:27" ht="28.2" thickBot="1" x14ac:dyDescent="0.35">
      <c r="K51" s="41" t="s">
        <v>35</v>
      </c>
      <c r="L51" s="42" t="s">
        <v>36</v>
      </c>
    </row>
    <row r="52" spans="11:27" ht="16.2" thickBot="1" x14ac:dyDescent="0.35">
      <c r="K52" s="39" t="s">
        <v>37</v>
      </c>
      <c r="L52" s="40">
        <v>0.02</v>
      </c>
    </row>
    <row r="53" spans="11:27" ht="28.2" thickBot="1" x14ac:dyDescent="0.35">
      <c r="K53" s="41" t="s">
        <v>38</v>
      </c>
      <c r="L53" s="44">
        <v>0.02</v>
      </c>
    </row>
    <row r="54" spans="11:27" ht="16.2" thickBot="1" x14ac:dyDescent="0.35">
      <c r="K54" s="39" t="s">
        <v>39</v>
      </c>
      <c r="L54" s="43">
        <v>0.7</v>
      </c>
    </row>
    <row r="55" spans="11:27" ht="16.2" thickBot="1" x14ac:dyDescent="0.35">
      <c r="K55" s="41" t="s">
        <v>40</v>
      </c>
      <c r="L55" s="42" t="s">
        <v>41</v>
      </c>
    </row>
  </sheetData>
  <mergeCells count="11">
    <mergeCell ref="V43:W43"/>
    <mergeCell ref="V45:W45"/>
    <mergeCell ref="S45:U45"/>
    <mergeCell ref="Q42:AA42"/>
    <mergeCell ref="S43:U43"/>
    <mergeCell ref="S44:U44"/>
    <mergeCell ref="V44:W44"/>
    <mergeCell ref="J10:K10"/>
    <mergeCell ref="L10:M10"/>
    <mergeCell ref="V34:W34"/>
    <mergeCell ref="X34:Y3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Alfredo Vergara Barriosnuevo</dc:creator>
  <cp:lastModifiedBy>Jose Alfredo Vergara Barriosnuevo</cp:lastModifiedBy>
  <dcterms:created xsi:type="dcterms:W3CDTF">2025-05-31T18:15:22Z</dcterms:created>
  <dcterms:modified xsi:type="dcterms:W3CDTF">2025-06-01T04:17:02Z</dcterms:modified>
</cp:coreProperties>
</file>